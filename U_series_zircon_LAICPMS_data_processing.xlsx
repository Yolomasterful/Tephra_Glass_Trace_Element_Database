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ya\Downloads\"/>
    </mc:Choice>
  </mc:AlternateContent>
  <xr:revisionPtr revIDLastSave="0" documentId="13_ncr:1_{117C1301-56AC-482A-92ED-B5A715465CD1}" xr6:coauthVersionLast="47" xr6:coauthVersionMax="47" xr10:uidLastSave="{00000000-0000-0000-0000-000000000000}"/>
  <bookViews>
    <workbookView xWindow="-98" yWindow="-98" windowWidth="21795" windowHeight="12975" xr2:uid="{AF0837AE-6875-4736-B66C-950B859F27D8}"/>
  </bookViews>
  <sheets>
    <sheet name="Data corr." sheetId="1" r:id="rId1"/>
  </sheets>
  <definedNames>
    <definedName name="_454">#REF!</definedName>
    <definedName name="_xlnm._FilterDatabase" localSheetId="0" hidden="1">'Data corr.'!$AQ$43:$BU$102</definedName>
    <definedName name="ConcAgeTik1">#REF!</definedName>
    <definedName name="ConcAgeTik2">#REF!</definedName>
    <definedName name="ConcAgeTik3">#REF!</definedName>
    <definedName name="ConcAgeTik4">#REF!</definedName>
    <definedName name="ConcAgeTik5">#REF!</definedName>
    <definedName name="ConcAgeTik6">#REF!</definedName>
    <definedName name="ConcAgeTik7">#REF!</definedName>
    <definedName name="ConcAgeTikAge1">#REF!</definedName>
    <definedName name="ConcAgeTikAge2">#REF!</definedName>
    <definedName name="ConcAgeTikAge3">#REF!</definedName>
    <definedName name="ConcAgeTikAge4">#REF!</definedName>
    <definedName name="ConcAgeTikAge5">#REF!</definedName>
    <definedName name="ConcAgeTikAge6">#REF!</definedName>
    <definedName name="ConcAgeTikAge7">#REF!</definedName>
    <definedName name="gaus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5" i="1" l="1"/>
  <c r="V81" i="1"/>
  <c r="AT47" i="1"/>
  <c r="AT48" i="1"/>
  <c r="AT49" i="1"/>
  <c r="AT50" i="1"/>
  <c r="AT51" i="1"/>
  <c r="AT52" i="1"/>
  <c r="AT53" i="1"/>
  <c r="AT54" i="1"/>
  <c r="AT55" i="1"/>
  <c r="AT56" i="1"/>
  <c r="AT57" i="1"/>
  <c r="BE56" i="1"/>
  <c r="BD56" i="1"/>
  <c r="BI56" i="1"/>
  <c r="BH56" i="1"/>
  <c r="BE7" i="1"/>
  <c r="BD9" i="1"/>
  <c r="BG56" i="1"/>
  <c r="S56" i="1"/>
  <c r="AC10" i="1"/>
  <c r="AH23" i="1"/>
  <c r="W61" i="1"/>
  <c r="W20" i="1"/>
  <c r="AF20" i="1"/>
  <c r="AO52" i="1"/>
  <c r="AK58" i="1"/>
  <c r="AK59" i="1"/>
  <c r="AK60" i="1"/>
  <c r="AK61" i="1"/>
  <c r="AK62" i="1"/>
  <c r="AK63" i="1"/>
  <c r="AK64" i="1"/>
  <c r="AK44" i="1"/>
  <c r="AK45" i="1"/>
  <c r="AK46" i="1"/>
  <c r="AK47" i="1"/>
  <c r="AK48" i="1"/>
  <c r="AK49" i="1"/>
  <c r="AK50" i="1"/>
  <c r="AK51" i="1"/>
  <c r="AK52" i="1"/>
  <c r="AK53" i="1"/>
  <c r="BG53" i="1" s="1"/>
  <c r="BE53" i="1" s="1"/>
  <c r="AY53" i="1" s="1"/>
  <c r="AK54" i="1"/>
  <c r="BG54" i="1" s="1"/>
  <c r="BE54" i="1" s="1"/>
  <c r="AK55" i="1"/>
  <c r="AK56" i="1"/>
  <c r="AK57" i="1"/>
  <c r="BG57" i="1" s="1"/>
  <c r="BE57" i="1" s="1"/>
  <c r="AK33" i="1"/>
  <c r="AK34" i="1"/>
  <c r="AK35" i="1"/>
  <c r="AK36" i="1"/>
  <c r="AK37" i="1"/>
  <c r="AK38" i="1"/>
  <c r="AK39" i="1"/>
  <c r="AK40" i="1"/>
  <c r="AK41" i="1"/>
  <c r="AK42" i="1"/>
  <c r="AK43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7" i="1"/>
  <c r="AK8" i="1"/>
  <c r="AK9" i="1"/>
  <c r="AK10" i="1"/>
  <c r="AK11" i="1"/>
  <c r="AK12" i="1"/>
  <c r="AK13" i="1"/>
  <c r="AK14" i="1"/>
  <c r="AK15" i="1"/>
  <c r="AK16" i="1"/>
  <c r="AK17" i="1"/>
  <c r="AK6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A21" i="1"/>
  <c r="AF18" i="1"/>
  <c r="AF19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7" i="1"/>
  <c r="AF8" i="1"/>
  <c r="AF9" i="1"/>
  <c r="AF10" i="1"/>
  <c r="AF11" i="1"/>
  <c r="AF12" i="1"/>
  <c r="AF13" i="1"/>
  <c r="AF14" i="1"/>
  <c r="AF15" i="1"/>
  <c r="AF16" i="1"/>
  <c r="AF17" i="1"/>
  <c r="AF6" i="1"/>
  <c r="W35" i="1"/>
  <c r="AW51" i="1"/>
  <c r="AW46" i="1"/>
  <c r="AW47" i="1"/>
  <c r="AW48" i="1"/>
  <c r="AW49" i="1"/>
  <c r="AX49" i="1"/>
  <c r="AY49" i="1"/>
  <c r="AW50" i="1"/>
  <c r="AX50" i="1"/>
  <c r="AY50" i="1"/>
  <c r="AW52" i="1"/>
  <c r="AW53" i="1"/>
  <c r="AW54" i="1"/>
  <c r="AW55" i="1"/>
  <c r="AW56" i="1"/>
  <c r="AW57" i="1"/>
  <c r="BD46" i="1"/>
  <c r="BF46" i="1"/>
  <c r="BG46" i="1"/>
  <c r="BH46" i="1"/>
  <c r="BI46" i="1"/>
  <c r="BD47" i="1"/>
  <c r="BF47" i="1"/>
  <c r="BG47" i="1"/>
  <c r="BE47" i="1" s="1"/>
  <c r="AX47" i="1" s="1"/>
  <c r="BH47" i="1"/>
  <c r="BI47" i="1"/>
  <c r="BD48" i="1"/>
  <c r="BE48" i="1"/>
  <c r="AX48" i="1" s="1"/>
  <c r="BF48" i="1"/>
  <c r="BG48" i="1"/>
  <c r="BH48" i="1"/>
  <c r="BI48" i="1"/>
  <c r="BD49" i="1"/>
  <c r="BF49" i="1"/>
  <c r="BG49" i="1"/>
  <c r="BE49" i="1" s="1"/>
  <c r="BH49" i="1"/>
  <c r="BI49" i="1"/>
  <c r="BD50" i="1"/>
  <c r="BF50" i="1"/>
  <c r="BG50" i="1"/>
  <c r="BE50" i="1" s="1"/>
  <c r="BH50" i="1"/>
  <c r="BI50" i="1"/>
  <c r="BD51" i="1"/>
  <c r="BF51" i="1"/>
  <c r="BG51" i="1"/>
  <c r="BE51" i="1" s="1"/>
  <c r="BH51" i="1"/>
  <c r="BI51" i="1"/>
  <c r="BD52" i="1"/>
  <c r="BF52" i="1"/>
  <c r="BG52" i="1"/>
  <c r="BE52" i="1" s="1"/>
  <c r="AX52" i="1" s="1"/>
  <c r="BH52" i="1"/>
  <c r="BI52" i="1"/>
  <c r="BD53" i="1"/>
  <c r="BF53" i="1"/>
  <c r="BH53" i="1"/>
  <c r="BI53" i="1"/>
  <c r="BD54" i="1"/>
  <c r="BF54" i="1"/>
  <c r="BH54" i="1"/>
  <c r="BI54" i="1"/>
  <c r="BD55" i="1"/>
  <c r="BF55" i="1"/>
  <c r="BG55" i="1"/>
  <c r="BH55" i="1"/>
  <c r="BI55" i="1"/>
  <c r="BF56" i="1"/>
  <c r="BD57" i="1"/>
  <c r="BF57" i="1"/>
  <c r="BH57" i="1"/>
  <c r="BI57" i="1"/>
  <c r="AY57" i="1" l="1"/>
  <c r="AX57" i="1"/>
  <c r="AX56" i="1"/>
  <c r="AY56" i="1"/>
  <c r="AX53" i="1"/>
  <c r="BE55" i="1"/>
  <c r="AY52" i="1"/>
  <c r="AY48" i="1"/>
  <c r="AY47" i="1"/>
  <c r="AX51" i="1"/>
  <c r="AX54" i="1"/>
  <c r="AY51" i="1"/>
  <c r="BE46" i="1"/>
  <c r="AX46" i="1" s="1"/>
  <c r="AY46" i="1"/>
  <c r="AY54" i="1"/>
  <c r="AX55" i="1" l="1"/>
  <c r="AY55" i="1"/>
  <c r="AW8" i="1"/>
  <c r="AW9" i="1"/>
  <c r="AW11" i="1"/>
  <c r="AW12" i="1"/>
  <c r="AW13" i="1"/>
  <c r="AW14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5" i="1"/>
  <c r="AW36" i="1"/>
  <c r="AW37" i="1"/>
  <c r="AW38" i="1"/>
  <c r="AW39" i="1"/>
  <c r="AW40" i="1"/>
  <c r="AW41" i="1"/>
  <c r="AW42" i="1"/>
  <c r="AW43" i="1"/>
  <c r="AW6" i="1"/>
  <c r="BD26" i="1"/>
  <c r="BD35" i="1"/>
  <c r="BD20" i="1"/>
  <c r="BH6" i="1"/>
  <c r="BG6" i="1"/>
  <c r="BF6" i="1"/>
  <c r="BD6" i="1"/>
  <c r="BD21" i="1"/>
  <c r="BE24" i="1"/>
  <c r="AX24" i="1" s="1"/>
  <c r="BE43" i="1"/>
  <c r="AY43" i="1" s="1"/>
  <c r="BI7" i="1"/>
  <c r="BI8" i="1"/>
  <c r="BI9" i="1"/>
  <c r="BI11" i="1"/>
  <c r="BI12" i="1"/>
  <c r="BI13" i="1"/>
  <c r="BI14" i="1"/>
  <c r="BI15" i="1"/>
  <c r="BI16" i="1"/>
  <c r="BI17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6" i="1"/>
  <c r="BI37" i="1"/>
  <c r="BI38" i="1"/>
  <c r="BI39" i="1"/>
  <c r="BI40" i="1"/>
  <c r="BI41" i="1"/>
  <c r="BI42" i="1"/>
  <c r="BI43" i="1"/>
  <c r="BI6" i="1"/>
  <c r="BH7" i="1"/>
  <c r="BH8" i="1"/>
  <c r="BH9" i="1"/>
  <c r="BH10" i="1"/>
  <c r="BH11" i="1"/>
  <c r="BH12" i="1"/>
  <c r="BH13" i="1"/>
  <c r="BH14" i="1"/>
  <c r="BH15" i="1"/>
  <c r="BH16" i="1"/>
  <c r="BH17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5" i="1"/>
  <c r="BH36" i="1"/>
  <c r="BH37" i="1"/>
  <c r="BH38" i="1"/>
  <c r="BH39" i="1"/>
  <c r="BH40" i="1"/>
  <c r="BH41" i="1"/>
  <c r="BH42" i="1"/>
  <c r="BH43" i="1"/>
  <c r="BF7" i="1"/>
  <c r="BG7" i="1"/>
  <c r="BF8" i="1"/>
  <c r="BG8" i="1"/>
  <c r="BF9" i="1"/>
  <c r="BG9" i="1"/>
  <c r="BF10" i="1"/>
  <c r="BG10" i="1"/>
  <c r="BF11" i="1"/>
  <c r="BG11" i="1"/>
  <c r="BF12" i="1"/>
  <c r="BG12" i="1"/>
  <c r="BF13" i="1"/>
  <c r="BG13" i="1"/>
  <c r="BF14" i="1"/>
  <c r="BG14" i="1"/>
  <c r="BF15" i="1"/>
  <c r="BG15" i="1"/>
  <c r="BF16" i="1"/>
  <c r="BG16" i="1"/>
  <c r="BF17" i="1"/>
  <c r="BG17" i="1"/>
  <c r="BF20" i="1"/>
  <c r="BG20" i="1"/>
  <c r="BF21" i="1"/>
  <c r="BF22" i="1"/>
  <c r="BG22" i="1"/>
  <c r="BF23" i="1"/>
  <c r="BG23" i="1"/>
  <c r="BF24" i="1"/>
  <c r="BG24" i="1"/>
  <c r="BF25" i="1"/>
  <c r="BG25" i="1"/>
  <c r="BE25" i="1" s="1"/>
  <c r="BF26" i="1"/>
  <c r="BG26" i="1"/>
  <c r="BE26" i="1" s="1"/>
  <c r="AX26" i="1" s="1"/>
  <c r="BF27" i="1"/>
  <c r="BG27" i="1"/>
  <c r="BF28" i="1"/>
  <c r="BG28" i="1"/>
  <c r="BF29" i="1"/>
  <c r="BG29" i="1"/>
  <c r="BF30" i="1"/>
  <c r="BG30" i="1"/>
  <c r="BF31" i="1"/>
  <c r="BG31" i="1"/>
  <c r="BF32" i="1"/>
  <c r="BG32" i="1"/>
  <c r="BF35" i="1"/>
  <c r="BG35" i="1"/>
  <c r="BF36" i="1"/>
  <c r="BG36" i="1"/>
  <c r="BF37" i="1"/>
  <c r="BG37" i="1"/>
  <c r="BF38" i="1"/>
  <c r="BG38" i="1"/>
  <c r="BF39" i="1"/>
  <c r="BG39" i="1"/>
  <c r="BF40" i="1"/>
  <c r="BG40" i="1"/>
  <c r="BE40" i="1" s="1"/>
  <c r="BF41" i="1"/>
  <c r="BG41" i="1"/>
  <c r="BE41" i="1" s="1"/>
  <c r="BF42" i="1"/>
  <c r="BG42" i="1"/>
  <c r="BE42" i="1" s="1"/>
  <c r="BF43" i="1"/>
  <c r="BG43" i="1"/>
  <c r="BD36" i="1"/>
  <c r="BD37" i="1"/>
  <c r="BD38" i="1"/>
  <c r="BD39" i="1"/>
  <c r="BD40" i="1"/>
  <c r="BD41" i="1"/>
  <c r="BD42" i="1"/>
  <c r="BD43" i="1"/>
  <c r="BD7" i="1"/>
  <c r="BD8" i="1"/>
  <c r="BD10" i="1"/>
  <c r="AW10" i="1" s="1"/>
  <c r="BD11" i="1"/>
  <c r="BD12" i="1"/>
  <c r="BD13" i="1"/>
  <c r="BD14" i="1"/>
  <c r="BD15" i="1"/>
  <c r="BD16" i="1"/>
  <c r="BD17" i="1"/>
  <c r="BD22" i="1"/>
  <c r="BE22" i="1" s="1"/>
  <c r="AX22" i="1" s="1"/>
  <c r="BD23" i="1"/>
  <c r="BE23" i="1" s="1"/>
  <c r="AY23" i="1" s="1"/>
  <c r="BD24" i="1"/>
  <c r="BD25" i="1"/>
  <c r="BD27" i="1"/>
  <c r="BE27" i="1" s="1"/>
  <c r="AY27" i="1" s="1"/>
  <c r="BD28" i="1"/>
  <c r="BD29" i="1"/>
  <c r="BD30" i="1"/>
  <c r="BD31" i="1"/>
  <c r="BD32" i="1"/>
  <c r="B61" i="1"/>
  <c r="C22" i="1"/>
  <c r="B7" i="1"/>
  <c r="AL29" i="1"/>
  <c r="AL60" i="1"/>
  <c r="W6" i="1"/>
  <c r="W58" i="1"/>
  <c r="W59" i="1"/>
  <c r="E567" i="1"/>
  <c r="G78" i="1"/>
  <c r="G77" i="1"/>
  <c r="G76" i="1"/>
  <c r="G75" i="1"/>
  <c r="G74" i="1"/>
  <c r="AZ142" i="1"/>
  <c r="Z64" i="1"/>
  <c r="U64" i="1"/>
  <c r="R64" i="1" s="1"/>
  <c r="J64" i="1"/>
  <c r="AA64" i="1" s="1"/>
  <c r="C64" i="1"/>
  <c r="B64" i="1"/>
  <c r="Z63" i="1"/>
  <c r="U63" i="1"/>
  <c r="R63" i="1" s="1"/>
  <c r="J63" i="1"/>
  <c r="C63" i="1"/>
  <c r="B63" i="1"/>
  <c r="Z62" i="1"/>
  <c r="U62" i="1"/>
  <c r="AB62" i="1" s="1"/>
  <c r="R62" i="1"/>
  <c r="J62" i="1"/>
  <c r="C62" i="1"/>
  <c r="B62" i="1"/>
  <c r="Z61" i="1"/>
  <c r="U61" i="1"/>
  <c r="X61" i="1" s="1"/>
  <c r="R61" i="1"/>
  <c r="J61" i="1"/>
  <c r="C61" i="1"/>
  <c r="Z60" i="1"/>
  <c r="U60" i="1"/>
  <c r="X60" i="1" s="1"/>
  <c r="J60" i="1"/>
  <c r="C60" i="1"/>
  <c r="B60" i="1"/>
  <c r="Z57" i="1"/>
  <c r="U57" i="1"/>
  <c r="X57" i="1" s="1"/>
  <c r="R57" i="1"/>
  <c r="J57" i="1"/>
  <c r="AA57" i="1" s="1"/>
  <c r="C57" i="1"/>
  <c r="B57" i="1"/>
  <c r="Z56" i="1"/>
  <c r="U56" i="1"/>
  <c r="AB56" i="1" s="1"/>
  <c r="R56" i="1"/>
  <c r="J56" i="1"/>
  <c r="AA56" i="1" s="1"/>
  <c r="C56" i="1"/>
  <c r="B56" i="1"/>
  <c r="Z55" i="1"/>
  <c r="U55" i="1"/>
  <c r="R55" i="1" s="1"/>
  <c r="J55" i="1"/>
  <c r="AA55" i="1" s="1"/>
  <c r="C55" i="1"/>
  <c r="B55" i="1"/>
  <c r="Z54" i="1"/>
  <c r="U54" i="1"/>
  <c r="J54" i="1"/>
  <c r="C54" i="1"/>
  <c r="B54" i="1"/>
  <c r="Z53" i="1"/>
  <c r="U53" i="1"/>
  <c r="R53" i="1" s="1"/>
  <c r="J53" i="1"/>
  <c r="AA53" i="1" s="1"/>
  <c r="C53" i="1"/>
  <c r="B53" i="1"/>
  <c r="Z52" i="1"/>
  <c r="U52" i="1"/>
  <c r="V52" i="1" s="1"/>
  <c r="W52" i="1" s="1"/>
  <c r="J52" i="1"/>
  <c r="C52" i="1"/>
  <c r="B52" i="1"/>
  <c r="Z51" i="1"/>
  <c r="U51" i="1"/>
  <c r="R51" i="1" s="1"/>
  <c r="J51" i="1"/>
  <c r="C51" i="1"/>
  <c r="B51" i="1"/>
  <c r="Z50" i="1"/>
  <c r="U50" i="1"/>
  <c r="J50" i="1"/>
  <c r="C50" i="1"/>
  <c r="B50" i="1"/>
  <c r="Z49" i="1"/>
  <c r="U49" i="1"/>
  <c r="X49" i="1" s="1"/>
  <c r="R49" i="1"/>
  <c r="J49" i="1"/>
  <c r="AA49" i="1" s="1"/>
  <c r="C49" i="1"/>
  <c r="B49" i="1"/>
  <c r="Z48" i="1"/>
  <c r="U48" i="1"/>
  <c r="V48" i="1" s="1"/>
  <c r="W48" i="1" s="1"/>
  <c r="J48" i="1"/>
  <c r="C48" i="1"/>
  <c r="B48" i="1"/>
  <c r="Z47" i="1"/>
  <c r="U47" i="1"/>
  <c r="R47" i="1" s="1"/>
  <c r="J47" i="1"/>
  <c r="C47" i="1"/>
  <c r="B47" i="1"/>
  <c r="Z46" i="1"/>
  <c r="U46" i="1"/>
  <c r="R46" i="1" s="1"/>
  <c r="J46" i="1"/>
  <c r="C46" i="1"/>
  <c r="B46" i="1"/>
  <c r="Z43" i="1"/>
  <c r="U43" i="1"/>
  <c r="V43" i="1" s="1"/>
  <c r="W43" i="1" s="1"/>
  <c r="J43" i="1"/>
  <c r="C43" i="1"/>
  <c r="B43" i="1"/>
  <c r="Z42" i="1"/>
  <c r="U42" i="1"/>
  <c r="V42" i="1" s="1"/>
  <c r="W42" i="1" s="1"/>
  <c r="R42" i="1"/>
  <c r="J42" i="1"/>
  <c r="C42" i="1"/>
  <c r="B42" i="1"/>
  <c r="AB41" i="1"/>
  <c r="Z41" i="1"/>
  <c r="X41" i="1"/>
  <c r="U41" i="1"/>
  <c r="V41" i="1" s="1"/>
  <c r="W41" i="1" s="1"/>
  <c r="J41" i="1"/>
  <c r="C41" i="1"/>
  <c r="B41" i="1"/>
  <c r="Z40" i="1"/>
  <c r="U40" i="1"/>
  <c r="R40" i="1" s="1"/>
  <c r="J40" i="1"/>
  <c r="C40" i="1"/>
  <c r="B40" i="1"/>
  <c r="Z39" i="1"/>
  <c r="U39" i="1"/>
  <c r="R39" i="1"/>
  <c r="J39" i="1"/>
  <c r="C39" i="1"/>
  <c r="B39" i="1"/>
  <c r="Z38" i="1"/>
  <c r="U38" i="1"/>
  <c r="V38" i="1" s="1"/>
  <c r="W38" i="1" s="1"/>
  <c r="J38" i="1"/>
  <c r="C38" i="1"/>
  <c r="B38" i="1"/>
  <c r="Z37" i="1"/>
  <c r="U37" i="1"/>
  <c r="V37" i="1" s="1"/>
  <c r="W37" i="1" s="1"/>
  <c r="J37" i="1"/>
  <c r="C37" i="1"/>
  <c r="B37" i="1"/>
  <c r="Z36" i="1"/>
  <c r="U36" i="1"/>
  <c r="R36" i="1" s="1"/>
  <c r="J36" i="1"/>
  <c r="C36" i="1"/>
  <c r="B36" i="1"/>
  <c r="Z35" i="1"/>
  <c r="U35" i="1"/>
  <c r="AB35" i="1" s="1"/>
  <c r="J35" i="1"/>
  <c r="C35" i="1"/>
  <c r="B35" i="1"/>
  <c r="Z32" i="1"/>
  <c r="U32" i="1"/>
  <c r="R32" i="1"/>
  <c r="J32" i="1"/>
  <c r="C32" i="1"/>
  <c r="B32" i="1"/>
  <c r="Z31" i="1"/>
  <c r="U31" i="1"/>
  <c r="V31" i="1" s="1"/>
  <c r="W31" i="1" s="1"/>
  <c r="J31" i="1"/>
  <c r="C31" i="1"/>
  <c r="B31" i="1"/>
  <c r="Z30" i="1"/>
  <c r="U30" i="1"/>
  <c r="V30" i="1" s="1"/>
  <c r="W30" i="1" s="1"/>
  <c r="R30" i="1"/>
  <c r="J30" i="1"/>
  <c r="C30" i="1"/>
  <c r="B30" i="1"/>
  <c r="Z29" i="1"/>
  <c r="U29" i="1"/>
  <c r="X29" i="1" s="1"/>
  <c r="J29" i="1"/>
  <c r="C29" i="1"/>
  <c r="B29" i="1"/>
  <c r="Z28" i="1"/>
  <c r="U28" i="1"/>
  <c r="X28" i="1" s="1"/>
  <c r="J28" i="1"/>
  <c r="C28" i="1"/>
  <c r="B28" i="1"/>
  <c r="Z27" i="1"/>
  <c r="U27" i="1"/>
  <c r="X27" i="1" s="1"/>
  <c r="J27" i="1"/>
  <c r="C27" i="1"/>
  <c r="B27" i="1"/>
  <c r="Z26" i="1"/>
  <c r="U26" i="1"/>
  <c r="AB26" i="1" s="1"/>
  <c r="R26" i="1"/>
  <c r="J26" i="1"/>
  <c r="AA26" i="1" s="1"/>
  <c r="C26" i="1"/>
  <c r="B26" i="1"/>
  <c r="Z25" i="1"/>
  <c r="U25" i="1"/>
  <c r="AB25" i="1" s="1"/>
  <c r="R25" i="1"/>
  <c r="J25" i="1"/>
  <c r="C25" i="1"/>
  <c r="B25" i="1"/>
  <c r="Z24" i="1"/>
  <c r="U24" i="1"/>
  <c r="J24" i="1"/>
  <c r="C24" i="1"/>
  <c r="B24" i="1"/>
  <c r="Z23" i="1"/>
  <c r="U23" i="1"/>
  <c r="R23" i="1"/>
  <c r="J23" i="1"/>
  <c r="AA23" i="1" s="1"/>
  <c r="C23" i="1"/>
  <c r="B23" i="1"/>
  <c r="Z22" i="1"/>
  <c r="U22" i="1"/>
  <c r="X22" i="1" s="1"/>
  <c r="R22" i="1"/>
  <c r="J22" i="1"/>
  <c r="B22" i="1"/>
  <c r="Z21" i="1"/>
  <c r="U21" i="1"/>
  <c r="R21" i="1" s="1"/>
  <c r="J21" i="1"/>
  <c r="C21" i="1"/>
  <c r="B21" i="1"/>
  <c r="Z20" i="1"/>
  <c r="U20" i="1"/>
  <c r="R20" i="1" s="1"/>
  <c r="J20" i="1"/>
  <c r="C20" i="1"/>
  <c r="B20" i="1"/>
  <c r="AP17" i="1"/>
  <c r="Z17" i="1"/>
  <c r="U17" i="1"/>
  <c r="J17" i="1"/>
  <c r="AA17" i="1" s="1"/>
  <c r="C17" i="1"/>
  <c r="B17" i="1"/>
  <c r="AP16" i="1"/>
  <c r="Z16" i="1"/>
  <c r="U16" i="1"/>
  <c r="R16" i="1" s="1"/>
  <c r="J16" i="1"/>
  <c r="AA16" i="1" s="1"/>
  <c r="C16" i="1"/>
  <c r="B16" i="1"/>
  <c r="AP15" i="1"/>
  <c r="Z15" i="1"/>
  <c r="U15" i="1"/>
  <c r="R15" i="1"/>
  <c r="J15" i="1"/>
  <c r="C15" i="1"/>
  <c r="B15" i="1"/>
  <c r="AP14" i="1"/>
  <c r="Z14" i="1"/>
  <c r="U14" i="1"/>
  <c r="V14" i="1" s="1"/>
  <c r="J14" i="1"/>
  <c r="C14" i="1"/>
  <c r="B14" i="1"/>
  <c r="AP13" i="1"/>
  <c r="Z13" i="1"/>
  <c r="U13" i="1"/>
  <c r="V13" i="1" s="1"/>
  <c r="W13" i="1" s="1"/>
  <c r="R13" i="1"/>
  <c r="J13" i="1"/>
  <c r="C13" i="1"/>
  <c r="B13" i="1"/>
  <c r="AP12" i="1"/>
  <c r="Z12" i="1"/>
  <c r="U12" i="1"/>
  <c r="X12" i="1" s="1"/>
  <c r="J12" i="1"/>
  <c r="C12" i="1"/>
  <c r="B12" i="1"/>
  <c r="AP11" i="1"/>
  <c r="Z11" i="1"/>
  <c r="U11" i="1"/>
  <c r="AB11" i="1" s="1"/>
  <c r="J11" i="1"/>
  <c r="C11" i="1"/>
  <c r="B11" i="1"/>
  <c r="AP10" i="1"/>
  <c r="Z10" i="1"/>
  <c r="U10" i="1"/>
  <c r="V10" i="1" s="1"/>
  <c r="W10" i="1" s="1"/>
  <c r="R10" i="1"/>
  <c r="J10" i="1"/>
  <c r="C10" i="1"/>
  <c r="B10" i="1"/>
  <c r="AP9" i="1"/>
  <c r="Z9" i="1"/>
  <c r="U9" i="1"/>
  <c r="R9" i="1" s="1"/>
  <c r="J9" i="1"/>
  <c r="C9" i="1"/>
  <c r="B9" i="1"/>
  <c r="AP8" i="1"/>
  <c r="Z8" i="1"/>
  <c r="U8" i="1"/>
  <c r="R8" i="1"/>
  <c r="J8" i="1"/>
  <c r="AA8" i="1" s="1"/>
  <c r="C8" i="1"/>
  <c r="B8" i="1"/>
  <c r="AP7" i="1"/>
  <c r="Z7" i="1"/>
  <c r="U7" i="1"/>
  <c r="AB7" i="1" s="1"/>
  <c r="R7" i="1"/>
  <c r="J7" i="1"/>
  <c r="C7" i="1"/>
  <c r="AP6" i="1"/>
  <c r="Z6" i="1"/>
  <c r="U6" i="1"/>
  <c r="R6" i="1" s="1"/>
  <c r="J6" i="1"/>
  <c r="C6" i="1"/>
  <c r="B6" i="1"/>
  <c r="Y2" i="1"/>
  <c r="R74" i="1" s="1"/>
  <c r="S74" i="1" s="1"/>
  <c r="X2" i="1"/>
  <c r="P74" i="1" s="1"/>
  <c r="Q74" i="1" s="1"/>
  <c r="V2" i="1"/>
  <c r="N74" i="1" s="1"/>
  <c r="M2" i="1"/>
  <c r="L2" i="1"/>
  <c r="K2" i="1"/>
  <c r="AX43" i="1" l="1"/>
  <c r="AX23" i="1"/>
  <c r="AY22" i="1"/>
  <c r="AX27" i="1"/>
  <c r="BE32" i="1"/>
  <c r="AX32" i="1" s="1"/>
  <c r="BE31" i="1"/>
  <c r="AX31" i="1" s="1"/>
  <c r="BE30" i="1"/>
  <c r="AY30" i="1" s="1"/>
  <c r="BE17" i="1"/>
  <c r="AX17" i="1" s="1"/>
  <c r="BE16" i="1"/>
  <c r="AX25" i="1"/>
  <c r="AY25" i="1"/>
  <c r="AX42" i="1"/>
  <c r="AY42" i="1"/>
  <c r="AX30" i="1"/>
  <c r="BE29" i="1"/>
  <c r="AX29" i="1" s="1"/>
  <c r="BE28" i="1"/>
  <c r="AY26" i="1"/>
  <c r="BE38" i="1"/>
  <c r="BE37" i="1"/>
  <c r="AY32" i="1"/>
  <c r="BE36" i="1"/>
  <c r="AX36" i="1" s="1"/>
  <c r="AY31" i="1"/>
  <c r="AY24" i="1"/>
  <c r="BE39" i="1"/>
  <c r="AX41" i="1"/>
  <c r="AX40" i="1"/>
  <c r="BE14" i="1"/>
  <c r="AX14" i="1" s="1"/>
  <c r="BE12" i="1"/>
  <c r="AW17" i="1"/>
  <c r="BE15" i="1"/>
  <c r="BE11" i="1"/>
  <c r="AX11" i="1" s="1"/>
  <c r="BE9" i="1"/>
  <c r="AX9" i="1" s="1"/>
  <c r="AW16" i="1"/>
  <c r="AX16" i="1" s="1"/>
  <c r="BE8" i="1"/>
  <c r="AW15" i="1"/>
  <c r="AY15" i="1" s="1"/>
  <c r="BE13" i="1"/>
  <c r="AX13" i="1" s="1"/>
  <c r="AX7" i="1"/>
  <c r="AW7" i="1"/>
  <c r="AY7" i="1" s="1"/>
  <c r="AY41" i="1"/>
  <c r="AY40" i="1"/>
  <c r="BE6" i="1"/>
  <c r="AX6" i="1" s="1"/>
  <c r="AB14" i="1"/>
  <c r="AA9" i="1"/>
  <c r="R12" i="1"/>
  <c r="R37" i="1"/>
  <c r="AA43" i="1"/>
  <c r="X14" i="1"/>
  <c r="AR17" i="1"/>
  <c r="AB55" i="1"/>
  <c r="AA10" i="1"/>
  <c r="AA46" i="1"/>
  <c r="O74" i="1"/>
  <c r="R75" i="1"/>
  <c r="S75" i="1" s="1"/>
  <c r="AB13" i="1"/>
  <c r="AA30" i="1"/>
  <c r="AA14" i="1"/>
  <c r="T74" i="1"/>
  <c r="AA39" i="1"/>
  <c r="X7" i="1"/>
  <c r="AA20" i="1"/>
  <c r="X47" i="1"/>
  <c r="AB20" i="1"/>
  <c r="AB42" i="1"/>
  <c r="R2" i="1"/>
  <c r="V26" i="1"/>
  <c r="W26" i="1" s="1"/>
  <c r="AA32" i="1"/>
  <c r="AA37" i="1"/>
  <c r="V36" i="1"/>
  <c r="W36" i="1" s="1"/>
  <c r="V12" i="1"/>
  <c r="W12" i="1" s="1"/>
  <c r="Y12" i="1" s="1"/>
  <c r="X31" i="1"/>
  <c r="X11" i="1"/>
  <c r="V21" i="1"/>
  <c r="V62" i="1"/>
  <c r="AB48" i="1"/>
  <c r="X62" i="1"/>
  <c r="AA63" i="1"/>
  <c r="AB12" i="1"/>
  <c r="AC12" i="1" s="1"/>
  <c r="AB21" i="1"/>
  <c r="AA27" i="1"/>
  <c r="R14" i="1"/>
  <c r="S14" i="1" s="1"/>
  <c r="R27" i="1"/>
  <c r="AA12" i="1"/>
  <c r="R38" i="1"/>
  <c r="Y41" i="1"/>
  <c r="AA52" i="1"/>
  <c r="W14" i="1"/>
  <c r="Y14" i="1" s="1"/>
  <c r="AB57" i="1"/>
  <c r="AA62" i="1"/>
  <c r="V51" i="1"/>
  <c r="W51" i="1" s="1"/>
  <c r="U2" i="1"/>
  <c r="AD2" i="1" s="1"/>
  <c r="Z2" i="1"/>
  <c r="AE16" i="1" s="1"/>
  <c r="AJ16" i="1" s="1"/>
  <c r="AA25" i="1"/>
  <c r="AA13" i="1"/>
  <c r="AA15" i="1"/>
  <c r="AA22" i="1"/>
  <c r="V25" i="1"/>
  <c r="AB27" i="1"/>
  <c r="S30" i="1"/>
  <c r="AA40" i="1"/>
  <c r="X42" i="1"/>
  <c r="AA47" i="1"/>
  <c r="AB49" i="1"/>
  <c r="AA6" i="1"/>
  <c r="R11" i="1"/>
  <c r="X13" i="1"/>
  <c r="X20" i="1"/>
  <c r="X25" i="1"/>
  <c r="AA42" i="1"/>
  <c r="AB64" i="1"/>
  <c r="AA24" i="1"/>
  <c r="V61" i="1"/>
  <c r="S61" i="1" s="1"/>
  <c r="AB63" i="1"/>
  <c r="AA29" i="1"/>
  <c r="X46" i="1"/>
  <c r="AB61" i="1"/>
  <c r="AA28" i="1"/>
  <c r="AA41" i="1"/>
  <c r="AA7" i="1"/>
  <c r="AB28" i="1"/>
  <c r="AA31" i="1"/>
  <c r="AA38" i="1"/>
  <c r="R41" i="1"/>
  <c r="S41" i="1" s="1"/>
  <c r="AA48" i="1"/>
  <c r="X51" i="1"/>
  <c r="V9" i="1"/>
  <c r="AA35" i="1"/>
  <c r="X9" i="1"/>
  <c r="AA50" i="1"/>
  <c r="V53" i="1"/>
  <c r="W53" i="1" s="1"/>
  <c r="AB9" i="1"/>
  <c r="AB38" i="1"/>
  <c r="AQ17" i="1"/>
  <c r="X38" i="1"/>
  <c r="X21" i="1"/>
  <c r="AC41" i="1"/>
  <c r="S10" i="1"/>
  <c r="S38" i="1"/>
  <c r="AB31" i="1"/>
  <c r="X48" i="1"/>
  <c r="R50" i="1"/>
  <c r="AB50" i="1"/>
  <c r="X17" i="1"/>
  <c r="AB30" i="1"/>
  <c r="AC30" i="1" s="1"/>
  <c r="V35" i="1"/>
  <c r="X43" i="1"/>
  <c r="AB43" i="1"/>
  <c r="R43" i="1"/>
  <c r="S43" i="1" s="1"/>
  <c r="V50" i="1"/>
  <c r="W50" i="1" s="1"/>
  <c r="X50" i="1"/>
  <c r="S53" i="1"/>
  <c r="X10" i="1"/>
  <c r="AB10" i="1"/>
  <c r="V17" i="1"/>
  <c r="W17" i="1" s="1"/>
  <c r="R24" i="1"/>
  <c r="AB24" i="1"/>
  <c r="X24" i="1"/>
  <c r="X40" i="1"/>
  <c r="V40" i="1"/>
  <c r="W40" i="1" s="1"/>
  <c r="V24" i="1"/>
  <c r="W24" i="1" s="1"/>
  <c r="X35" i="1"/>
  <c r="X8" i="1"/>
  <c r="V8" i="1"/>
  <c r="W8" i="1" s="1"/>
  <c r="X30" i="1"/>
  <c r="Y30" i="1" s="1"/>
  <c r="AB16" i="1"/>
  <c r="V16" i="1"/>
  <c r="W16" i="1" s="1"/>
  <c r="R29" i="1"/>
  <c r="S37" i="1"/>
  <c r="AB40" i="1"/>
  <c r="X16" i="1"/>
  <c r="V29" i="1"/>
  <c r="W29" i="1" s="1"/>
  <c r="AB37" i="1"/>
  <c r="AC37" i="1" s="1"/>
  <c r="X37" i="1"/>
  <c r="Y37" i="1" s="1"/>
  <c r="AB47" i="1"/>
  <c r="V47" i="1"/>
  <c r="W47" i="1" s="1"/>
  <c r="AB8" i="1"/>
  <c r="S42" i="1"/>
  <c r="AB52" i="1"/>
  <c r="R52" i="1"/>
  <c r="S52" i="1" s="1"/>
  <c r="R35" i="1"/>
  <c r="X23" i="1"/>
  <c r="AB23" i="1"/>
  <c r="R76" i="1"/>
  <c r="R77" i="1"/>
  <c r="R78" i="1"/>
  <c r="AB2" i="1"/>
  <c r="AC2" i="1" s="1"/>
  <c r="V32" i="1"/>
  <c r="W32" i="1" s="1"/>
  <c r="X32" i="1"/>
  <c r="X39" i="1"/>
  <c r="AB39" i="1"/>
  <c r="V39" i="1"/>
  <c r="W39" i="1" s="1"/>
  <c r="AA61" i="1"/>
  <c r="X6" i="1"/>
  <c r="X15" i="1"/>
  <c r="AB29" i="1"/>
  <c r="AA36" i="1"/>
  <c r="V15" i="1"/>
  <c r="W15" i="1" s="1"/>
  <c r="V23" i="1"/>
  <c r="W23" i="1" s="1"/>
  <c r="S13" i="1"/>
  <c r="AB22" i="1"/>
  <c r="AB32" i="1"/>
  <c r="V6" i="1"/>
  <c r="X52" i="1"/>
  <c r="V22" i="1"/>
  <c r="W22" i="1" s="1"/>
  <c r="AC26" i="1"/>
  <c r="R31" i="1"/>
  <c r="S31" i="1" s="1"/>
  <c r="S36" i="1"/>
  <c r="R48" i="1"/>
  <c r="S48" i="1" s="1"/>
  <c r="AB51" i="1"/>
  <c r="AB17" i="1"/>
  <c r="R17" i="1"/>
  <c r="AB6" i="1"/>
  <c r="AA11" i="1"/>
  <c r="AB15" i="1"/>
  <c r="AB36" i="1"/>
  <c r="X36" i="1"/>
  <c r="N75" i="1"/>
  <c r="O75" i="1" s="1"/>
  <c r="N76" i="1"/>
  <c r="O76" i="1" s="1"/>
  <c r="P78" i="1"/>
  <c r="Q78" i="1" s="1"/>
  <c r="P75" i="1"/>
  <c r="Q75" i="1" s="1"/>
  <c r="V7" i="1"/>
  <c r="V11" i="1"/>
  <c r="W11" i="1" s="1"/>
  <c r="V46" i="1"/>
  <c r="W46" i="1" s="1"/>
  <c r="AA60" i="1"/>
  <c r="AA2" i="1"/>
  <c r="AL56" i="1" s="1"/>
  <c r="X63" i="1"/>
  <c r="N78" i="1"/>
  <c r="O78" i="1" s="1"/>
  <c r="V63" i="1"/>
  <c r="W63" i="1" s="1"/>
  <c r="N77" i="1"/>
  <c r="O77" i="1" s="1"/>
  <c r="X26" i="1"/>
  <c r="AB46" i="1"/>
  <c r="AA54" i="1"/>
  <c r="X56" i="1"/>
  <c r="V56" i="1"/>
  <c r="W56" i="1" s="1"/>
  <c r="V55" i="1"/>
  <c r="W55" i="1" s="1"/>
  <c r="V20" i="1"/>
  <c r="V27" i="1"/>
  <c r="W27" i="1" s="1"/>
  <c r="X55" i="1"/>
  <c r="X64" i="1"/>
  <c r="P76" i="1"/>
  <c r="Q76" i="1" s="1"/>
  <c r="P77" i="1"/>
  <c r="Q77" i="1" s="1"/>
  <c r="V64" i="1"/>
  <c r="W64" i="1" s="1"/>
  <c r="V28" i="1"/>
  <c r="W28" i="1" s="1"/>
  <c r="R28" i="1"/>
  <c r="R54" i="1"/>
  <c r="X54" i="1"/>
  <c r="V54" i="1"/>
  <c r="W54" i="1" s="1"/>
  <c r="AB54" i="1"/>
  <c r="AA51" i="1"/>
  <c r="X53" i="1"/>
  <c r="AB53" i="1"/>
  <c r="R60" i="1"/>
  <c r="AB60" i="1"/>
  <c r="V57" i="1"/>
  <c r="W57" i="1" s="1"/>
  <c r="V60" i="1"/>
  <c r="W60" i="1" s="1"/>
  <c r="V49" i="1"/>
  <c r="W49" i="1" s="1"/>
  <c r="AY36" i="1" l="1"/>
  <c r="AY17" i="1"/>
  <c r="AX39" i="1"/>
  <c r="AY39" i="1"/>
  <c r="AX38" i="1"/>
  <c r="AY38" i="1"/>
  <c r="AX37" i="1"/>
  <c r="AY37" i="1"/>
  <c r="AY29" i="1"/>
  <c r="AY28" i="1"/>
  <c r="AX28" i="1"/>
  <c r="AX15" i="1"/>
  <c r="AX8" i="1"/>
  <c r="AY8" i="1"/>
  <c r="AX12" i="1"/>
  <c r="AY12" i="1"/>
  <c r="AY6" i="1"/>
  <c r="AY14" i="1"/>
  <c r="AY13" i="1"/>
  <c r="AY11" i="1"/>
  <c r="AY9" i="1"/>
  <c r="AY16" i="1"/>
  <c r="Y53" i="1"/>
  <c r="S12" i="1"/>
  <c r="Y51" i="1"/>
  <c r="AE64" i="1"/>
  <c r="AJ64" i="1" s="1"/>
  <c r="AE8" i="1"/>
  <c r="AJ8" i="1" s="1"/>
  <c r="AE7" i="1"/>
  <c r="AJ7" i="1" s="1"/>
  <c r="AE9" i="1"/>
  <c r="AJ9" i="1" s="1"/>
  <c r="AE11" i="1"/>
  <c r="AJ11" i="1" s="1"/>
  <c r="AE30" i="1"/>
  <c r="AJ30" i="1" s="1"/>
  <c r="S21" i="1"/>
  <c r="W21" i="1"/>
  <c r="AE56" i="1"/>
  <c r="AJ56" i="1" s="1"/>
  <c r="AE53" i="1"/>
  <c r="AJ53" i="1" s="1"/>
  <c r="AE50" i="1"/>
  <c r="AJ50" i="1" s="1"/>
  <c r="AE57" i="1"/>
  <c r="AJ57" i="1" s="1"/>
  <c r="AE40" i="1"/>
  <c r="AJ40" i="1" s="1"/>
  <c r="Y36" i="1"/>
  <c r="AE63" i="1"/>
  <c r="AJ63" i="1" s="1"/>
  <c r="AE52" i="1"/>
  <c r="AJ52" i="1" s="1"/>
  <c r="AE2" i="1"/>
  <c r="AE51" i="1"/>
  <c r="AJ51" i="1" s="1"/>
  <c r="AE10" i="1"/>
  <c r="AJ10" i="1" s="1"/>
  <c r="AE54" i="1"/>
  <c r="AJ54" i="1" s="1"/>
  <c r="AE38" i="1"/>
  <c r="AJ38" i="1" s="1"/>
  <c r="S62" i="1"/>
  <c r="W62" i="1"/>
  <c r="AE49" i="1"/>
  <c r="AJ49" i="1" s="1"/>
  <c r="AC36" i="1"/>
  <c r="AE32" i="1"/>
  <c r="AJ32" i="1" s="1"/>
  <c r="AE47" i="1"/>
  <c r="AJ47" i="1" s="1"/>
  <c r="AL52" i="1"/>
  <c r="AE6" i="1"/>
  <c r="AJ6" i="1" s="1"/>
  <c r="AE35" i="1"/>
  <c r="AJ35" i="1" s="1"/>
  <c r="AE41" i="1"/>
  <c r="AJ41" i="1" s="1"/>
  <c r="AE26" i="1"/>
  <c r="AJ26" i="1" s="1"/>
  <c r="AC53" i="1"/>
  <c r="AM53" i="1" s="1"/>
  <c r="AO53" i="1" s="1"/>
  <c r="AE37" i="1"/>
  <c r="AJ37" i="1" s="1"/>
  <c r="AE55" i="1"/>
  <c r="AJ55" i="1" s="1"/>
  <c r="Y26" i="1"/>
  <c r="AE24" i="1"/>
  <c r="AJ24" i="1" s="1"/>
  <c r="S51" i="1"/>
  <c r="AE48" i="1"/>
  <c r="AJ48" i="1" s="1"/>
  <c r="AE36" i="1"/>
  <c r="AJ36" i="1" s="1"/>
  <c r="AC14" i="1"/>
  <c r="S26" i="1"/>
  <c r="AC51" i="1"/>
  <c r="AE21" i="1"/>
  <c r="AJ21" i="1" s="1"/>
  <c r="BG21" i="1" s="1"/>
  <c r="BE21" i="1" s="1"/>
  <c r="AE42" i="1"/>
  <c r="AJ42" i="1" s="1"/>
  <c r="AE20" i="1"/>
  <c r="AJ20" i="1" s="1"/>
  <c r="AE60" i="1"/>
  <c r="AJ60" i="1" s="1"/>
  <c r="AE61" i="1"/>
  <c r="AJ61" i="1" s="1"/>
  <c r="AE13" i="1"/>
  <c r="AJ13" i="1" s="1"/>
  <c r="AE39" i="1"/>
  <c r="AJ39" i="1" s="1"/>
  <c r="S25" i="1"/>
  <c r="W25" i="1"/>
  <c r="AL16" i="1"/>
  <c r="AN16" i="1" s="1"/>
  <c r="AE15" i="1"/>
  <c r="AJ15" i="1" s="1"/>
  <c r="AE22" i="1"/>
  <c r="AJ22" i="1" s="1"/>
  <c r="AE25" i="1"/>
  <c r="AJ25" i="1" s="1"/>
  <c r="AL17" i="1"/>
  <c r="AE23" i="1"/>
  <c r="AJ23" i="1" s="1"/>
  <c r="AE28" i="1"/>
  <c r="AJ28" i="1" s="1"/>
  <c r="AE27" i="1"/>
  <c r="AJ27" i="1" s="1"/>
  <c r="AE31" i="1"/>
  <c r="AJ31" i="1" s="1"/>
  <c r="AE43" i="1"/>
  <c r="AJ43" i="1" s="1"/>
  <c r="AL30" i="1"/>
  <c r="AN30" i="1" s="1"/>
  <c r="AC61" i="1"/>
  <c r="AE46" i="1"/>
  <c r="AJ46" i="1" s="1"/>
  <c r="AE62" i="1"/>
  <c r="AJ62" i="1" s="1"/>
  <c r="AE14" i="1"/>
  <c r="AJ14" i="1" s="1"/>
  <c r="AE17" i="1"/>
  <c r="AJ17" i="1" s="1"/>
  <c r="AE12" i="1"/>
  <c r="AJ12" i="1" s="1"/>
  <c r="AE29" i="1"/>
  <c r="AJ29" i="1" s="1"/>
  <c r="S9" i="1"/>
  <c r="W9" i="1"/>
  <c r="AC9" i="1" s="1"/>
  <c r="S39" i="1"/>
  <c r="S63" i="1"/>
  <c r="AG52" i="1"/>
  <c r="AG40" i="1"/>
  <c r="AG36" i="1"/>
  <c r="AG30" i="1"/>
  <c r="AH30" i="1" s="1"/>
  <c r="AG57" i="1"/>
  <c r="AG64" i="1"/>
  <c r="AG46" i="1"/>
  <c r="AG12" i="1"/>
  <c r="AH12" i="1" s="1"/>
  <c r="AG37" i="1"/>
  <c r="AH37" i="1" s="1"/>
  <c r="AL41" i="1"/>
  <c r="AG61" i="1"/>
  <c r="AG60" i="1"/>
  <c r="AG42" i="1"/>
  <c r="AL38" i="1"/>
  <c r="AN38" i="1" s="1"/>
  <c r="AG24" i="1"/>
  <c r="AG41" i="1"/>
  <c r="AH41" i="1" s="1"/>
  <c r="AG23" i="1"/>
  <c r="AG39" i="1"/>
  <c r="AG16" i="1"/>
  <c r="AL14" i="1"/>
  <c r="AG6" i="1"/>
  <c r="AL49" i="1"/>
  <c r="AG38" i="1"/>
  <c r="AG47" i="1"/>
  <c r="AG15" i="1"/>
  <c r="AG35" i="1"/>
  <c r="AG48" i="1"/>
  <c r="AG49" i="1"/>
  <c r="AG10" i="1"/>
  <c r="AG51" i="1"/>
  <c r="AH51" i="1" s="1"/>
  <c r="AG21" i="1"/>
  <c r="AL13" i="1"/>
  <c r="AN13" i="1" s="1"/>
  <c r="AL53" i="1"/>
  <c r="AN53" i="1" s="1"/>
  <c r="AL27" i="1"/>
  <c r="AG9" i="1"/>
  <c r="AG56" i="1"/>
  <c r="AG32" i="1"/>
  <c r="AL7" i="1"/>
  <c r="AL46" i="1"/>
  <c r="AL61" i="1"/>
  <c r="AL42" i="1"/>
  <c r="AG29" i="1"/>
  <c r="AG7" i="1"/>
  <c r="AG63" i="1"/>
  <c r="AG62" i="1"/>
  <c r="AL57" i="1"/>
  <c r="AL64" i="1"/>
  <c r="AN64" i="1" s="1"/>
  <c r="AG27" i="1"/>
  <c r="AG8" i="1"/>
  <c r="AG54" i="1"/>
  <c r="AG55" i="1"/>
  <c r="AG53" i="1"/>
  <c r="AL20" i="1"/>
  <c r="AN20" i="1" s="1"/>
  <c r="AG26" i="1"/>
  <c r="AG14" i="1"/>
  <c r="AH14" i="1" s="1"/>
  <c r="AL54" i="1"/>
  <c r="AN54" i="1" s="1"/>
  <c r="AG50" i="1"/>
  <c r="AG43" i="1"/>
  <c r="AG20" i="1"/>
  <c r="AL11" i="1"/>
  <c r="AL21" i="1"/>
  <c r="AL12" i="1"/>
  <c r="AG17" i="1"/>
  <c r="AL26" i="1"/>
  <c r="AL25" i="1"/>
  <c r="AN25" i="1" s="1"/>
  <c r="AG31" i="1"/>
  <c r="AG11" i="1"/>
  <c r="AL28" i="1"/>
  <c r="AN28" i="1" s="1"/>
  <c r="AL55" i="1"/>
  <c r="AN55" i="1" s="1"/>
  <c r="AG25" i="1"/>
  <c r="AG13" i="1"/>
  <c r="AG22" i="1"/>
  <c r="AG28" i="1"/>
  <c r="AL62" i="1"/>
  <c r="AN62" i="1" s="1"/>
  <c r="AH26" i="1"/>
  <c r="AL37" i="1"/>
  <c r="AL40" i="1"/>
  <c r="AC43" i="1"/>
  <c r="Y43" i="1"/>
  <c r="S22" i="1"/>
  <c r="S29" i="1"/>
  <c r="S40" i="1"/>
  <c r="S35" i="1"/>
  <c r="S60" i="1"/>
  <c r="S27" i="1"/>
  <c r="AL39" i="1"/>
  <c r="AL23" i="1"/>
  <c r="AC42" i="1"/>
  <c r="Y42" i="1"/>
  <c r="S17" i="1"/>
  <c r="AC31" i="1"/>
  <c r="Y31" i="1"/>
  <c r="AC52" i="1"/>
  <c r="Y52" i="1"/>
  <c r="AL15" i="1"/>
  <c r="AN15" i="1" s="1"/>
  <c r="AM37" i="1"/>
  <c r="AL10" i="1"/>
  <c r="AN10" i="1" s="1"/>
  <c r="AC38" i="1"/>
  <c r="Y38" i="1"/>
  <c r="AL32" i="1"/>
  <c r="S32" i="1"/>
  <c r="AL6" i="1"/>
  <c r="AL48" i="1"/>
  <c r="AN48" i="1" s="1"/>
  <c r="AL8" i="1"/>
  <c r="AN8" i="1" s="1"/>
  <c r="S57" i="1"/>
  <c r="S23" i="1"/>
  <c r="S55" i="1"/>
  <c r="AL36" i="1"/>
  <c r="AN36" i="1" s="1"/>
  <c r="S8" i="1"/>
  <c r="AL63" i="1"/>
  <c r="S15" i="1"/>
  <c r="S54" i="1"/>
  <c r="AL31" i="1"/>
  <c r="AL22" i="1"/>
  <c r="AN22" i="1" s="1"/>
  <c r="T75" i="1"/>
  <c r="U75" i="1" s="1"/>
  <c r="V75" i="1" s="1"/>
  <c r="AL51" i="1"/>
  <c r="T78" i="1"/>
  <c r="U78" i="1" s="1"/>
  <c r="V78" i="1" s="1"/>
  <c r="W78" i="1" s="1"/>
  <c r="S78" i="1"/>
  <c r="AL24" i="1"/>
  <c r="AN24" i="1" s="1"/>
  <c r="S47" i="1"/>
  <c r="AC48" i="1"/>
  <c r="Y48" i="1"/>
  <c r="S77" i="1"/>
  <c r="T77" i="1"/>
  <c r="U77" i="1" s="1"/>
  <c r="V77" i="1" s="1"/>
  <c r="W77" i="1" s="1"/>
  <c r="AL35" i="1"/>
  <c r="AL47" i="1"/>
  <c r="S16" i="1"/>
  <c r="S50" i="1"/>
  <c r="U74" i="1"/>
  <c r="V74" i="1" s="1"/>
  <c r="S24" i="1"/>
  <c r="S28" i="1"/>
  <c r="S46" i="1"/>
  <c r="S76" i="1"/>
  <c r="T76" i="1"/>
  <c r="Y10" i="1"/>
  <c r="S20" i="1"/>
  <c r="AL50" i="1"/>
  <c r="S49" i="1"/>
  <c r="S11" i="1"/>
  <c r="Y13" i="1"/>
  <c r="AC13" i="1"/>
  <c r="S64" i="1"/>
  <c r="S6" i="1"/>
  <c r="AL9" i="1"/>
  <c r="AN9" i="1" s="1"/>
  <c r="W7" i="1"/>
  <c r="S7" i="1"/>
  <c r="AL43" i="1"/>
  <c r="AX21" i="1" l="1"/>
  <c r="AY21" i="1"/>
  <c r="AN50" i="1"/>
  <c r="AN11" i="1"/>
  <c r="AN32" i="1"/>
  <c r="AN52" i="1"/>
  <c r="AN63" i="1"/>
  <c r="AN57" i="1"/>
  <c r="AN6" i="1"/>
  <c r="AN7" i="1"/>
  <c r="U76" i="1"/>
  <c r="V76" i="1" s="1"/>
  <c r="AN39" i="1"/>
  <c r="AH53" i="1"/>
  <c r="AN60" i="1"/>
  <c r="AN42" i="1"/>
  <c r="AN61" i="1"/>
  <c r="AN17" i="1"/>
  <c r="AN31" i="1"/>
  <c r="AH61" i="1"/>
  <c r="AH36" i="1"/>
  <c r="Y62" i="1"/>
  <c r="AC62" i="1"/>
  <c r="AN47" i="1"/>
  <c r="AN40" i="1"/>
  <c r="AN56" i="1"/>
  <c r="AN26" i="1"/>
  <c r="Y21" i="1"/>
  <c r="AC21" i="1"/>
  <c r="AH21" i="1" s="1"/>
  <c r="AN51" i="1"/>
  <c r="AN49" i="1"/>
  <c r="AN35" i="1"/>
  <c r="AN37" i="1"/>
  <c r="AO37" i="1" s="1"/>
  <c r="AM61" i="1"/>
  <c r="AN43" i="1"/>
  <c r="Y25" i="1"/>
  <c r="AC25" i="1"/>
  <c r="AM25" i="1" s="1"/>
  <c r="AO25" i="1" s="1"/>
  <c r="AN46" i="1"/>
  <c r="Y9" i="1"/>
  <c r="AN29" i="1"/>
  <c r="Y61" i="1"/>
  <c r="AM26" i="1"/>
  <c r="AO26" i="1" s="1"/>
  <c r="AM30" i="1"/>
  <c r="AO30" i="1" s="1"/>
  <c r="AN27" i="1"/>
  <c r="AH25" i="1"/>
  <c r="AM51" i="1"/>
  <c r="AO51" i="1" s="1"/>
  <c r="AN23" i="1"/>
  <c r="Y17" i="1"/>
  <c r="AC17" i="1"/>
  <c r="AC46" i="1"/>
  <c r="Y46" i="1"/>
  <c r="AH9" i="1"/>
  <c r="AM9" i="1"/>
  <c r="AO9" i="1" s="1"/>
  <c r="AC35" i="1"/>
  <c r="Y35" i="1"/>
  <c r="AC57" i="1"/>
  <c r="Y57" i="1"/>
  <c r="AC20" i="1"/>
  <c r="Y20" i="1"/>
  <c r="Y27" i="1"/>
  <c r="AC27" i="1"/>
  <c r="AC28" i="1"/>
  <c r="Y28" i="1"/>
  <c r="AC40" i="1"/>
  <c r="Y40" i="1"/>
  <c r="AC54" i="1"/>
  <c r="Y54" i="1"/>
  <c r="AN14" i="1"/>
  <c r="AM14" i="1"/>
  <c r="AO14" i="1" s="1"/>
  <c r="Y8" i="1"/>
  <c r="AC8" i="1"/>
  <c r="Y32" i="1"/>
  <c r="AC32" i="1"/>
  <c r="AN21" i="1"/>
  <c r="Y63" i="1"/>
  <c r="AC63" i="1"/>
  <c r="AC56" i="1"/>
  <c r="Y56" i="1"/>
  <c r="AC16" i="1"/>
  <c r="Y16" i="1"/>
  <c r="AC49" i="1"/>
  <c r="Y49" i="1"/>
  <c r="AM48" i="1"/>
  <c r="AO48" i="1" s="1"/>
  <c r="AH48" i="1"/>
  <c r="AM38" i="1"/>
  <c r="AO38" i="1" s="1"/>
  <c r="AH38" i="1"/>
  <c r="Y39" i="1"/>
  <c r="AC39" i="1"/>
  <c r="AC15" i="1"/>
  <c r="Y15" i="1"/>
  <c r="AM10" i="1"/>
  <c r="AH10" i="1"/>
  <c r="AH42" i="1"/>
  <c r="AM42" i="1"/>
  <c r="Y55" i="1"/>
  <c r="AC55" i="1"/>
  <c r="AM52" i="1"/>
  <c r="AH52" i="1"/>
  <c r="AC47" i="1"/>
  <c r="Y47" i="1"/>
  <c r="AC22" i="1"/>
  <c r="Y22" i="1"/>
  <c r="AC24" i="1"/>
  <c r="Y24" i="1"/>
  <c r="AC60" i="1"/>
  <c r="Y60" i="1"/>
  <c r="AC29" i="1"/>
  <c r="Y29" i="1"/>
  <c r="Y64" i="1"/>
  <c r="AC64" i="1"/>
  <c r="AC7" i="1"/>
  <c r="Y7" i="1"/>
  <c r="AC23" i="1"/>
  <c r="Y23" i="1"/>
  <c r="AM43" i="1"/>
  <c r="AO43" i="1" s="1"/>
  <c r="AH43" i="1"/>
  <c r="AC50" i="1"/>
  <c r="Y50" i="1"/>
  <c r="AC11" i="1"/>
  <c r="Y11" i="1"/>
  <c r="Y6" i="1"/>
  <c r="AC6" i="1"/>
  <c r="AM31" i="1"/>
  <c r="AH31" i="1"/>
  <c r="AN41" i="1"/>
  <c r="AM41" i="1"/>
  <c r="AO41" i="1" s="1"/>
  <c r="AM13" i="1"/>
  <c r="AO13" i="1" s="1"/>
  <c r="AH13" i="1"/>
  <c r="W74" i="1"/>
  <c r="AN12" i="1"/>
  <c r="AM12" i="1"/>
  <c r="AO12" i="1" s="1"/>
  <c r="AM36" i="1"/>
  <c r="AO36" i="1" s="1"/>
  <c r="AO10" i="1" l="1"/>
  <c r="BI10" i="1"/>
  <c r="BE10" i="1" s="1"/>
  <c r="W76" i="1"/>
  <c r="V80" i="1"/>
  <c r="AO42" i="1"/>
  <c r="W80" i="1"/>
  <c r="AM21" i="1"/>
  <c r="AO21" i="1" s="1"/>
  <c r="AM62" i="1"/>
  <c r="AO62" i="1" s="1"/>
  <c r="AH62" i="1"/>
  <c r="AO61" i="1"/>
  <c r="AO31" i="1"/>
  <c r="V82" i="1"/>
  <c r="AM29" i="1"/>
  <c r="AO29" i="1" s="1"/>
  <c r="AH29" i="1"/>
  <c r="AM23" i="1"/>
  <c r="AO23" i="1" s="1"/>
  <c r="AM39" i="1"/>
  <c r="AO39" i="1" s="1"/>
  <c r="AH39" i="1"/>
  <c r="AM35" i="1"/>
  <c r="AH35" i="1"/>
  <c r="AM47" i="1"/>
  <c r="AO47" i="1" s="1"/>
  <c r="AH47" i="1"/>
  <c r="AM56" i="1"/>
  <c r="AO56" i="1" s="1"/>
  <c r="AH56" i="1"/>
  <c r="AH6" i="1"/>
  <c r="AM6" i="1"/>
  <c r="AO6" i="1" s="1"/>
  <c r="AM22" i="1"/>
  <c r="AO22" i="1" s="1"/>
  <c r="AH22" i="1"/>
  <c r="AM50" i="1"/>
  <c r="AO50" i="1" s="1"/>
  <c r="AH50" i="1"/>
  <c r="AH7" i="1"/>
  <c r="AM7" i="1"/>
  <c r="AO7" i="1" s="1"/>
  <c r="AM20" i="1"/>
  <c r="AH20" i="1"/>
  <c r="AM8" i="1"/>
  <c r="AO8" i="1" s="1"/>
  <c r="AH8" i="1"/>
  <c r="AM27" i="1"/>
  <c r="AO27" i="1" s="1"/>
  <c r="AH27" i="1"/>
  <c r="AH60" i="1"/>
  <c r="AM60" i="1"/>
  <c r="AO60" i="1" s="1"/>
  <c r="AM32" i="1"/>
  <c r="AO32" i="1" s="1"/>
  <c r="AH32" i="1"/>
  <c r="AH46" i="1"/>
  <c r="AM46" i="1"/>
  <c r="AO46" i="1" s="1"/>
  <c r="AH64" i="1"/>
  <c r="AM64" i="1"/>
  <c r="AO64" i="1" s="1"/>
  <c r="AM15" i="1"/>
  <c r="AO15" i="1" s="1"/>
  <c r="AH15" i="1"/>
  <c r="AM54" i="1"/>
  <c r="AO54" i="1" s="1"/>
  <c r="AH54" i="1"/>
  <c r="AH16" i="1"/>
  <c r="AM16" i="1"/>
  <c r="AO16" i="1" s="1"/>
  <c r="AM40" i="1"/>
  <c r="AO40" i="1" s="1"/>
  <c r="AH40" i="1"/>
  <c r="AM63" i="1"/>
  <c r="AO63" i="1" s="1"/>
  <c r="AH63" i="1"/>
  <c r="AH24" i="1"/>
  <c r="AM24" i="1"/>
  <c r="AO24" i="1" s="1"/>
  <c r="AH55" i="1"/>
  <c r="AM55" i="1"/>
  <c r="AO55" i="1" s="1"/>
  <c r="AH57" i="1"/>
  <c r="AM57" i="1"/>
  <c r="AO57" i="1" s="1"/>
  <c r="AM11" i="1"/>
  <c r="AO11" i="1" s="1"/>
  <c r="AH11" i="1"/>
  <c r="AM28" i="1"/>
  <c r="AO28" i="1" s="1"/>
  <c r="AH28" i="1"/>
  <c r="AM17" i="1"/>
  <c r="AO17" i="1" s="1"/>
  <c r="AH17" i="1"/>
  <c r="AH49" i="1"/>
  <c r="AM49" i="1"/>
  <c r="AO49" i="1" s="1"/>
  <c r="AX10" i="1" l="1"/>
  <c r="AY10" i="1"/>
  <c r="AO20" i="1"/>
  <c r="BI20" i="1"/>
  <c r="BE20" i="1" s="1"/>
  <c r="AO35" i="1"/>
  <c r="BI35" i="1"/>
  <c r="BE35" i="1" s="1"/>
  <c r="AX20" i="1" l="1"/>
  <c r="AY20" i="1"/>
  <c r="AY35" i="1"/>
  <c r="AX35" i="1"/>
</calcChain>
</file>

<file path=xl/sharedStrings.xml><?xml version="1.0" encoding="utf-8"?>
<sst xmlns="http://schemas.openxmlformats.org/spreadsheetml/2006/main" count="137" uniqueCount="120">
  <si>
    <r>
      <rPr>
        <b/>
        <vertAlign val="superscript"/>
        <sz val="11"/>
        <color indexed="8"/>
        <rFont val="Arial"/>
        <family val="2"/>
      </rPr>
      <t>230</t>
    </r>
    <r>
      <rPr>
        <b/>
        <sz val="11"/>
        <color indexed="8"/>
        <rFont val="Arial"/>
        <family val="2"/>
      </rPr>
      <t xml:space="preserve">Th </t>
    </r>
  </si>
  <si>
    <r>
      <rPr>
        <b/>
        <vertAlign val="superscript"/>
        <sz val="11"/>
        <color indexed="8"/>
        <rFont val="Arial"/>
        <family val="2"/>
      </rPr>
      <t>232</t>
    </r>
    <r>
      <rPr>
        <b/>
        <sz val="11"/>
        <color indexed="8"/>
        <rFont val="Arial"/>
        <family val="2"/>
      </rPr>
      <t xml:space="preserve">Th </t>
    </r>
  </si>
  <si>
    <r>
      <rPr>
        <b/>
        <vertAlign val="superscript"/>
        <sz val="11"/>
        <color indexed="8"/>
        <rFont val="Arial"/>
        <family val="2"/>
      </rPr>
      <t>238</t>
    </r>
    <r>
      <rPr>
        <b/>
        <sz val="11"/>
        <color indexed="8"/>
        <rFont val="Arial"/>
        <family val="2"/>
      </rPr>
      <t xml:space="preserve">U </t>
    </r>
  </si>
  <si>
    <t>z</t>
  </si>
  <si>
    <r>
      <t xml:space="preserve"> T1/2 </t>
    </r>
    <r>
      <rPr>
        <b/>
        <vertAlign val="superscript"/>
        <sz val="11"/>
        <rFont val="Arial"/>
        <family val="2"/>
      </rPr>
      <t>238</t>
    </r>
    <r>
      <rPr>
        <b/>
        <sz val="11"/>
        <rFont val="Arial"/>
        <family val="2"/>
      </rPr>
      <t>U/</t>
    </r>
    <r>
      <rPr>
        <b/>
        <vertAlign val="superscript"/>
        <sz val="11"/>
        <rFont val="Arial"/>
        <family val="2"/>
      </rPr>
      <t>232</t>
    </r>
    <r>
      <rPr>
        <b/>
        <sz val="11"/>
        <rFont val="Arial"/>
        <family val="2"/>
      </rPr>
      <t>Th</t>
    </r>
  </si>
  <si>
    <t>8/2</t>
  </si>
  <si>
    <t xml:space="preserve"> λ230Th</t>
  </si>
  <si>
    <t xml:space="preserve"> λ232Th</t>
  </si>
  <si>
    <t xml:space="preserve"> λ238U</t>
  </si>
  <si>
    <t xml:space="preserve"> λ232Th/ λ238U</t>
  </si>
  <si>
    <t xml:space="preserve"> λ230Th/ λ232Th</t>
  </si>
  <si>
    <t>0/8</t>
  </si>
  <si>
    <t xml:space="preserve">Gas blank corrected intensities </t>
  </si>
  <si>
    <t>Interferences corrected intensity</t>
  </si>
  <si>
    <t>Abundance ratio</t>
  </si>
  <si>
    <t>Activity ratios</t>
  </si>
  <si>
    <t>Corrected Activity ratios</t>
  </si>
  <si>
    <t>Sample</t>
  </si>
  <si>
    <t>Th (ppm)</t>
  </si>
  <si>
    <t>U (ppm)</t>
  </si>
  <si>
    <t>Th/U</t>
  </si>
  <si>
    <r>
      <rPr>
        <b/>
        <vertAlign val="superscript"/>
        <sz val="11"/>
        <color indexed="8"/>
        <rFont val="Arial"/>
        <family val="2"/>
      </rPr>
      <t>90</t>
    </r>
    <r>
      <rPr>
        <b/>
        <sz val="11"/>
        <color indexed="8"/>
        <rFont val="Arial"/>
        <family val="2"/>
      </rPr>
      <t>Zr</t>
    </r>
    <r>
      <rPr>
        <b/>
        <vertAlign val="subscript"/>
        <sz val="11"/>
        <color indexed="8"/>
        <rFont val="Arial"/>
        <family val="2"/>
      </rPr>
      <t>2</t>
    </r>
    <r>
      <rPr>
        <b/>
        <vertAlign val="superscript"/>
        <sz val="11"/>
        <color indexed="8"/>
        <rFont val="Arial"/>
        <family val="2"/>
      </rPr>
      <t>16</t>
    </r>
    <r>
      <rPr>
        <b/>
        <sz val="11"/>
        <color indexed="8"/>
        <rFont val="Arial"/>
        <family val="2"/>
      </rPr>
      <t>O</t>
    </r>
    <r>
      <rPr>
        <b/>
        <vertAlign val="subscript"/>
        <sz val="11"/>
        <color indexed="8"/>
        <rFont val="Arial"/>
        <family val="2"/>
      </rPr>
      <t xml:space="preserve">3 </t>
    </r>
    <r>
      <rPr>
        <b/>
        <sz val="11"/>
        <color indexed="8"/>
        <rFont val="Arial"/>
        <family val="2"/>
      </rPr>
      <t>cps</t>
    </r>
  </si>
  <si>
    <t xml:space="preserve">230 cps </t>
  </si>
  <si>
    <t xml:space="preserve">±2s </t>
  </si>
  <si>
    <r>
      <rPr>
        <b/>
        <vertAlign val="superscript"/>
        <sz val="11"/>
        <color indexed="8"/>
        <rFont val="Arial"/>
        <family val="2"/>
      </rPr>
      <t>232</t>
    </r>
    <r>
      <rPr>
        <b/>
        <sz val="11"/>
        <color indexed="8"/>
        <rFont val="Arial"/>
        <family val="2"/>
      </rPr>
      <t>Th cps</t>
    </r>
  </si>
  <si>
    <t xml:space="preserve">±1s </t>
  </si>
  <si>
    <r>
      <rPr>
        <b/>
        <vertAlign val="superscript"/>
        <sz val="11"/>
        <color indexed="8"/>
        <rFont val="Arial"/>
        <family val="2"/>
      </rPr>
      <t>238</t>
    </r>
    <r>
      <rPr>
        <b/>
        <sz val="11"/>
        <color indexed="8"/>
        <rFont val="Arial"/>
        <family val="2"/>
      </rPr>
      <t>U cps</t>
    </r>
  </si>
  <si>
    <t>230Th change cps</t>
  </si>
  <si>
    <t>1SE</t>
  </si>
  <si>
    <t>bkg 2s</t>
  </si>
  <si>
    <r>
      <rPr>
        <b/>
        <vertAlign val="superscript"/>
        <sz val="11"/>
        <color indexed="8"/>
        <rFont val="Arial"/>
        <family val="2"/>
      </rPr>
      <t>230</t>
    </r>
    <r>
      <rPr>
        <b/>
        <sz val="11"/>
        <color indexed="8"/>
        <rFont val="Arial"/>
        <family val="2"/>
      </rPr>
      <t xml:space="preserve">Th cps </t>
    </r>
  </si>
  <si>
    <t>±1SE (prop)</t>
  </si>
  <si>
    <t>230Th/238U</t>
  </si>
  <si>
    <t>1s</t>
  </si>
  <si>
    <t>238U/232Th</t>
  </si>
  <si>
    <t>230Th/232Th</t>
  </si>
  <si>
    <r>
      <t xml:space="preserve">  (</t>
    </r>
    <r>
      <rPr>
        <b/>
        <vertAlign val="superscript"/>
        <sz val="11"/>
        <rFont val="Arial"/>
        <family val="2"/>
      </rPr>
      <t>238</t>
    </r>
    <r>
      <rPr>
        <b/>
        <sz val="11"/>
        <rFont val="Arial"/>
        <family val="2"/>
      </rPr>
      <t>U)/(</t>
    </r>
    <r>
      <rPr>
        <b/>
        <vertAlign val="superscript"/>
        <sz val="11"/>
        <rFont val="Arial"/>
        <family val="2"/>
      </rPr>
      <t>232</t>
    </r>
    <r>
      <rPr>
        <b/>
        <sz val="11"/>
        <rFont val="Arial"/>
        <family val="2"/>
      </rPr>
      <t>Th)</t>
    </r>
  </si>
  <si>
    <r>
      <t>(</t>
    </r>
    <r>
      <rPr>
        <b/>
        <vertAlign val="superscript"/>
        <sz val="11"/>
        <rFont val="Arial"/>
        <family val="2"/>
      </rPr>
      <t>230</t>
    </r>
    <r>
      <rPr>
        <b/>
        <sz val="11"/>
        <rFont val="Arial"/>
        <family val="2"/>
      </rPr>
      <t>Th)/(</t>
    </r>
    <r>
      <rPr>
        <b/>
        <vertAlign val="superscript"/>
        <sz val="11"/>
        <rFont val="Arial"/>
        <family val="2"/>
      </rPr>
      <t>232</t>
    </r>
    <r>
      <rPr>
        <b/>
        <sz val="11"/>
        <rFont val="Arial"/>
        <family val="2"/>
      </rPr>
      <t>Th)</t>
    </r>
  </si>
  <si>
    <r>
      <t xml:space="preserve">  (</t>
    </r>
    <r>
      <rPr>
        <b/>
        <vertAlign val="superscript"/>
        <sz val="11"/>
        <rFont val="Arial"/>
        <family val="2"/>
      </rPr>
      <t>230</t>
    </r>
    <r>
      <rPr>
        <b/>
        <sz val="11"/>
        <rFont val="Arial"/>
        <family val="2"/>
      </rPr>
      <t>Th)/(</t>
    </r>
    <r>
      <rPr>
        <b/>
        <vertAlign val="superscript"/>
        <sz val="11"/>
        <rFont val="Arial"/>
        <family val="2"/>
      </rPr>
      <t>238</t>
    </r>
    <r>
      <rPr>
        <b/>
        <sz val="11"/>
        <rFont val="Arial"/>
        <family val="2"/>
      </rPr>
      <t>U)</t>
    </r>
  </si>
  <si>
    <t>±1s</t>
  </si>
  <si>
    <t>RSF</t>
  </si>
  <si>
    <t>Z_91500</t>
  </si>
  <si>
    <t>91500 - 1</t>
  </si>
  <si>
    <t>91500 - 2</t>
  </si>
  <si>
    <t>91500 - 3</t>
  </si>
  <si>
    <t>91500 - 4</t>
  </si>
  <si>
    <t>91500 - 5</t>
  </si>
  <si>
    <t>91500 - 6</t>
  </si>
  <si>
    <t>91500 - 7</t>
  </si>
  <si>
    <t>91500 - 8</t>
  </si>
  <si>
    <t>91500 - 9</t>
  </si>
  <si>
    <t>91500 - 10</t>
  </si>
  <si>
    <t>91500 - 11</t>
  </si>
  <si>
    <t>average</t>
  </si>
  <si>
    <t>91500 - 12</t>
  </si>
  <si>
    <t>GJ1 - 1</t>
  </si>
  <si>
    <t>GJ1 - 2</t>
  </si>
  <si>
    <t>GJ1 - 3</t>
  </si>
  <si>
    <t>GJ1 - 4</t>
  </si>
  <si>
    <t>GJ1 - 5</t>
  </si>
  <si>
    <t>GJ1 - 6</t>
  </si>
  <si>
    <t>GJ1 - 7</t>
  </si>
  <si>
    <t>GJ1 - 8</t>
  </si>
  <si>
    <t>GJ1 - 9</t>
  </si>
  <si>
    <t>GJ1 - 10</t>
  </si>
  <si>
    <t>GJ1 - 11</t>
  </si>
  <si>
    <t>GJ1 - 12</t>
  </si>
  <si>
    <t>GJ1 - 13</t>
  </si>
  <si>
    <t>BT - 1</t>
  </si>
  <si>
    <t>BT - 2</t>
  </si>
  <si>
    <t>BT - 3</t>
  </si>
  <si>
    <t>BT - 4</t>
  </si>
  <si>
    <t>BT - 5</t>
  </si>
  <si>
    <t>BT - 6</t>
  </si>
  <si>
    <t>BT - 7</t>
  </si>
  <si>
    <t>BT - 8</t>
  </si>
  <si>
    <t>BT - 9</t>
  </si>
  <si>
    <t>CI - 1</t>
  </si>
  <si>
    <t>CI - 2</t>
  </si>
  <si>
    <t>CI - 3</t>
  </si>
  <si>
    <t>CI - 4</t>
  </si>
  <si>
    <t>CI - 5</t>
  </si>
  <si>
    <t>CI - 6</t>
  </si>
  <si>
    <t>CI - 7</t>
  </si>
  <si>
    <t>CI - 8</t>
  </si>
  <si>
    <t>CI - 9</t>
  </si>
  <si>
    <t>CI - 10</t>
  </si>
  <si>
    <t>CI - 11</t>
  </si>
  <si>
    <t>CI - 12</t>
  </si>
  <si>
    <t>MUN4 - 1</t>
  </si>
  <si>
    <t>MUN4 - 2</t>
  </si>
  <si>
    <t>MUN4 - 3</t>
  </si>
  <si>
    <t>MUN4 - 4</t>
  </si>
  <si>
    <t>MUN4 - 5</t>
  </si>
  <si>
    <t>KMD - 0</t>
  </si>
  <si>
    <t>KMD - 1</t>
  </si>
  <si>
    <t>KMD - 2</t>
  </si>
  <si>
    <t>KMD - 3</t>
  </si>
  <si>
    <t>KMD - 4</t>
  </si>
  <si>
    <t>232Th cps</t>
  </si>
  <si>
    <t>238U cps</t>
  </si>
  <si>
    <t>ppm</t>
  </si>
  <si>
    <t>1s (%)</t>
  </si>
  <si>
    <t xml:space="preserve">Monazite abundance sens. value </t>
  </si>
  <si>
    <t>Ab. Sens.</t>
  </si>
  <si>
    <t>RSF factor</t>
  </si>
  <si>
    <t>Synth. Zircon</t>
  </si>
  <si>
    <t>Model Age (ka)</t>
  </si>
  <si>
    <t>plus yrs</t>
  </si>
  <si>
    <t>minus yrs</t>
  </si>
  <si>
    <t>Host (238U)/(232Th)</t>
  </si>
  <si>
    <t>±( 238U)/(232Th)</t>
  </si>
  <si>
    <t>Host (230Th)/(232Th)</t>
  </si>
  <si>
    <t>±(230Th)/(232Th)</t>
  </si>
  <si>
    <t xml:space="preserve">Slope </t>
  </si>
  <si>
    <t>Slope error</t>
  </si>
  <si>
    <t>Xdiff</t>
  </si>
  <si>
    <t>Exdiff</t>
  </si>
  <si>
    <t>Ydiff</t>
  </si>
  <si>
    <t>Eydiff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</si>
</sst>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"/>
    <numFmt numFmtId="165" formatCode="0.0000E+00"/>
    <numFmt numFmtId="166" formatCode="0.0000"/>
    <numFmt numFmtId="167" formatCode="_(* #,##0.00_);_(* \(#,##0.00\);_(* &quot;-&quot;??_);_(@_)"/>
    <numFmt numFmtId="168" formatCode="_ * #,##0.000_ ;_ * \-#,##0.000_ ;_ * &quot;-&quot;??_ ;_ @_ "/>
    <numFmt numFmtId="169" formatCode="0.000"/>
    <numFmt numFmtId="170" formatCode="0.00000"/>
    <numFmt numFmtId="171" formatCode="0.000E+00"/>
    <numFmt numFmtId="172" formatCode="0.0E+00"/>
  </numFmts>
  <fonts count="22" x14ac:knownFonts="1">
    <font>
      <sz val="10"/>
      <name val="Arial"/>
      <family val="2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vertAlign val="superscript"/>
      <sz val="11"/>
      <color indexed="8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b/>
      <vertAlign val="subscript"/>
      <sz val="11"/>
      <color indexed="8"/>
      <name val="Arial"/>
      <family val="2"/>
    </font>
    <font>
      <b/>
      <sz val="12"/>
      <name val="Calibri"/>
      <family val="2"/>
    </font>
    <font>
      <sz val="11"/>
      <name val="Calibri"/>
      <family val="2"/>
    </font>
    <font>
      <sz val="11"/>
      <color rgb="FFFF0000"/>
      <name val="Arial"/>
      <family val="2"/>
    </font>
    <font>
      <b/>
      <sz val="11"/>
      <name val="Calibri"/>
      <family val="2"/>
    </font>
    <font>
      <sz val="10"/>
      <color rgb="FF000000"/>
      <name val="Arial"/>
      <family val="2"/>
    </font>
    <font>
      <i/>
      <sz val="11"/>
      <name val="Arial"/>
      <family val="2"/>
    </font>
    <font>
      <b/>
      <i/>
      <sz val="11"/>
      <name val="Arial"/>
      <family val="2"/>
    </font>
    <font>
      <b/>
      <i/>
      <sz val="11"/>
      <color rgb="FFFF0000"/>
      <name val="Arial"/>
      <family val="2"/>
    </font>
    <font>
      <sz val="11"/>
      <color rgb="FFFF0000"/>
      <name val="Times New Roman"/>
      <family val="1"/>
    </font>
    <font>
      <sz val="11"/>
      <color theme="9"/>
      <name val="Arial"/>
      <family val="2"/>
    </font>
    <font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7" fontId="2" fillId="0" borderId="0" applyFont="0" applyFill="0" applyBorder="0" applyAlignment="0" applyProtection="0"/>
    <xf numFmtId="0" fontId="12" fillId="0" borderId="0"/>
  </cellStyleXfs>
  <cellXfs count="131">
    <xf numFmtId="0" fontId="0" fillId="0" borderId="0" xfId="0"/>
    <xf numFmtId="0" fontId="3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64" fontId="4" fillId="0" borderId="0" xfId="0" quotePrefix="1" applyNumberFormat="1" applyFont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1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16" fontId="3" fillId="0" borderId="0" xfId="0" applyNumberFormat="1" applyFont="1" applyAlignment="1">
      <alignment vertical="center" wrapText="1"/>
    </xf>
    <xf numFmtId="168" fontId="3" fillId="0" borderId="0" xfId="1" applyNumberFormat="1" applyFont="1" applyBorder="1" applyAlignment="1">
      <alignment vertical="center"/>
    </xf>
    <xf numFmtId="0" fontId="11" fillId="0" borderId="0" xfId="0" applyFont="1"/>
    <xf numFmtId="1" fontId="4" fillId="0" borderId="0" xfId="0" applyNumberFormat="1" applyFont="1" applyAlignment="1">
      <alignment horizontal="center"/>
    </xf>
    <xf numFmtId="164" fontId="4" fillId="0" borderId="0" xfId="0" applyNumberFormat="1" applyFont="1"/>
    <xf numFmtId="1" fontId="0" fillId="0" borderId="0" xfId="0" applyNumberFormat="1"/>
    <xf numFmtId="1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169" fontId="4" fillId="0" borderId="0" xfId="0" applyNumberFormat="1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6" fontId="4" fillId="3" borderId="0" xfId="0" applyNumberFormat="1" applyFont="1" applyFill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5" fillId="0" borderId="0" xfId="0" quotePrefix="1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2" fillId="0" borderId="0" xfId="2"/>
    <xf numFmtId="166" fontId="4" fillId="0" borderId="0" xfId="0" applyNumberFormat="1" applyFont="1" applyAlignment="1">
      <alignment horizontal="center"/>
    </xf>
    <xf numFmtId="11" fontId="4" fillId="0" borderId="0" xfId="0" applyNumberFormat="1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0" borderId="0" xfId="2" applyFont="1"/>
    <xf numFmtId="170" fontId="4" fillId="0" borderId="0" xfId="0" applyNumberFormat="1" applyFont="1" applyAlignment="1">
      <alignment horizontal="center"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64" fontId="17" fillId="0" borderId="0" xfId="0" quotePrefix="1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1" fontId="0" fillId="0" borderId="0" xfId="0" applyNumberFormat="1"/>
    <xf numFmtId="164" fontId="4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169" fontId="0" fillId="0" borderId="0" xfId="0" applyNumberFormat="1" applyAlignment="1">
      <alignment horizontal="center"/>
    </xf>
    <xf numFmtId="1" fontId="13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2" fontId="3" fillId="2" borderId="0" xfId="0" applyNumberFormat="1" applyFont="1" applyFill="1" applyAlignment="1">
      <alignment horizontal="right" vertical="center" wrapText="1"/>
    </xf>
    <xf numFmtId="2" fontId="3" fillId="2" borderId="0" xfId="0" applyNumberFormat="1" applyFont="1" applyFill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2" fontId="0" fillId="0" borderId="0" xfId="0" applyNumberFormat="1" applyAlignment="1">
      <alignment horizontal="right"/>
    </xf>
    <xf numFmtId="2" fontId="13" fillId="0" borderId="0" xfId="0" applyNumberFormat="1" applyFont="1" applyAlignment="1">
      <alignment horizontal="right" vertical="center"/>
    </xf>
    <xf numFmtId="172" fontId="3" fillId="4" borderId="0" xfId="0" applyNumberFormat="1" applyFont="1" applyFill="1" applyAlignment="1">
      <alignment horizontal="center"/>
    </xf>
    <xf numFmtId="2" fontId="21" fillId="0" borderId="0" xfId="0" applyNumberFormat="1" applyFont="1" applyAlignment="1">
      <alignment horizontal="left" vertical="center"/>
    </xf>
    <xf numFmtId="1" fontId="21" fillId="0" borderId="0" xfId="0" applyNumberFormat="1" applyFont="1" applyAlignment="1">
      <alignment horizontal="left" vertical="center"/>
    </xf>
    <xf numFmtId="1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1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2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 vertical="center"/>
    </xf>
    <xf numFmtId="1" fontId="4" fillId="5" borderId="4" xfId="0" applyNumberFormat="1" applyFont="1" applyFill="1" applyBorder="1"/>
    <xf numFmtId="1" fontId="3" fillId="5" borderId="0" xfId="0" applyNumberFormat="1" applyFont="1" applyFill="1"/>
    <xf numFmtId="0" fontId="4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1" fontId="4" fillId="5" borderId="0" xfId="0" applyNumberFormat="1" applyFont="1" applyFill="1" applyAlignment="1">
      <alignment horizontal="center" vertical="center"/>
    </xf>
    <xf numFmtId="169" fontId="4" fillId="5" borderId="0" xfId="0" applyNumberFormat="1" applyFont="1" applyFill="1" applyAlignment="1">
      <alignment horizontal="center" vertical="center"/>
    </xf>
    <xf numFmtId="2" fontId="4" fillId="5" borderId="0" xfId="0" applyNumberFormat="1" applyFont="1" applyFill="1" applyAlignment="1">
      <alignment horizontal="center" vertical="center"/>
    </xf>
    <xf numFmtId="166" fontId="4" fillId="5" borderId="0" xfId="0" applyNumberFormat="1" applyFont="1" applyFill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0" fillId="5" borderId="4" xfId="0" applyFill="1" applyBorder="1"/>
    <xf numFmtId="0" fontId="0" fillId="5" borderId="0" xfId="0" applyFill="1"/>
    <xf numFmtId="1" fontId="4" fillId="5" borderId="0" xfId="0" applyNumberFormat="1" applyFont="1" applyFill="1" applyAlignment="1">
      <alignment horizontal="center" vertical="center"/>
    </xf>
    <xf numFmtId="171" fontId="4" fillId="5" borderId="0" xfId="0" applyNumberFormat="1" applyFont="1" applyFill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1" fontId="4" fillId="5" borderId="0" xfId="0" applyNumberFormat="1" applyFont="1" applyFill="1"/>
    <xf numFmtId="0" fontId="4" fillId="5" borderId="0" xfId="0" applyFont="1" applyFill="1"/>
    <xf numFmtId="0" fontId="4" fillId="5" borderId="0" xfId="0" applyFont="1" applyFill="1" applyAlignment="1">
      <alignment horizontal="center"/>
    </xf>
    <xf numFmtId="172" fontId="4" fillId="5" borderId="0" xfId="0" applyNumberFormat="1" applyFont="1" applyFill="1" applyAlignment="1">
      <alignment horizontal="center" vertical="center"/>
    </xf>
    <xf numFmtId="1" fontId="4" fillId="5" borderId="6" xfId="0" applyNumberFormat="1" applyFont="1" applyFill="1" applyBorder="1"/>
    <xf numFmtId="1" fontId="4" fillId="5" borderId="7" xfId="0" applyNumberFormat="1" applyFont="1" applyFill="1" applyBorder="1"/>
    <xf numFmtId="0" fontId="4" fillId="5" borderId="7" xfId="0" applyFont="1" applyFill="1" applyBorder="1"/>
    <xf numFmtId="0" fontId="4" fillId="5" borderId="7" xfId="0" applyFont="1" applyFill="1" applyBorder="1" applyAlignment="1">
      <alignment horizontal="center"/>
    </xf>
    <xf numFmtId="164" fontId="4" fillId="5" borderId="7" xfId="0" applyNumberFormat="1" applyFont="1" applyFill="1" applyBorder="1" applyAlignment="1">
      <alignment horizontal="center" vertical="center"/>
    </xf>
    <xf numFmtId="11" fontId="4" fillId="5" borderId="7" xfId="0" applyNumberFormat="1" applyFont="1" applyFill="1" applyBorder="1" applyAlignment="1">
      <alignment horizontal="center" vertical="center"/>
    </xf>
    <xf numFmtId="169" fontId="4" fillId="5" borderId="7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166" fontId="4" fillId="5" borderId="7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168" fontId="3" fillId="5" borderId="0" xfId="1" applyNumberFormat="1" applyFont="1" applyFill="1" applyBorder="1" applyAlignment="1">
      <alignment vertical="center"/>
    </xf>
    <xf numFmtId="166" fontId="4" fillId="5" borderId="0" xfId="0" applyNumberFormat="1" applyFont="1" applyFill="1" applyAlignment="1">
      <alignment horizontal="center"/>
    </xf>
    <xf numFmtId="2" fontId="3" fillId="5" borderId="0" xfId="0" applyNumberFormat="1" applyFont="1" applyFill="1" applyAlignment="1">
      <alignment horizontal="center" vertical="center"/>
    </xf>
    <xf numFmtId="1" fontId="14" fillId="0" borderId="0" xfId="2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 wrapText="1"/>
    </xf>
    <xf numFmtId="168" fontId="3" fillId="0" borderId="0" xfId="1" applyNumberFormat="1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3">
    <cellStyle name="Comma" xfId="1" builtinId="3"/>
    <cellStyle name="Normal" xfId="0" builtinId="0"/>
    <cellStyle name="Normal 2" xfId="2" xr:uid="{398F53E8-478E-4A1E-ABC6-0E39ACCFA043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997857</xdr:colOff>
      <xdr:row>305</xdr:row>
      <xdr:rowOff>100794</xdr:rowOff>
    </xdr:from>
    <xdr:to>
      <xdr:col>60</xdr:col>
      <xdr:colOff>125831</xdr:colOff>
      <xdr:row>309</xdr:row>
      <xdr:rowOff>52122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1DC6495-8A03-45B0-9429-F7EE86EA93D3}"/>
            </a:ext>
          </a:extLst>
        </xdr:cNvPr>
        <xdr:cNvSpPr txBox="1"/>
      </xdr:nvSpPr>
      <xdr:spPr>
        <a:xfrm>
          <a:off x="48927657" y="57047594"/>
          <a:ext cx="2937974" cy="687928"/>
        </a:xfrm>
        <a:prstGeom prst="roundRect">
          <a:avLst/>
        </a:prstGeom>
        <a:solidFill>
          <a:srgbClr val="FFFFCC"/>
        </a:solidFill>
        <a:ln w="1" cmpd="sng">
          <a:solidFill>
            <a:schemeClr val="lt1">
              <a:shade val="50000"/>
            </a:schemeClr>
          </a:solidFill>
        </a:ln>
        <a:effectLst>
          <a:outerShdw blurRad="63500" dist="37357" dir="2700000" rotWithShape="0">
            <a:scrgbClr r="0" g="0" b="0"/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25400" rIns="25400" bIns="25400" rtlCol="0" anchor="t">
          <a:spAutoFit/>
        </a:bodyPr>
        <a:lstStyle/>
        <a:p>
          <a:r>
            <a:rPr lang="en-CA" sz="1100">
              <a:latin typeface="Arial" panose="020B0604020202020204" pitchFamily="34" charset="0"/>
            </a:rPr>
            <a:t>Mean = 0.962±0.054  [5.6%]  95% conf.
Wtd by data-pt errs only, 0 of 10 rej.
MSWD = 0.59, probability = 0.81</a:t>
          </a:r>
        </a:p>
      </xdr:txBody>
    </xdr:sp>
    <xdr:clientData/>
  </xdr:twoCellAnchor>
  <xdr:twoCellAnchor>
    <xdr:from>
      <xdr:col>57</xdr:col>
      <xdr:colOff>0</xdr:colOff>
      <xdr:row>498</xdr:row>
      <xdr:rowOff>0</xdr:rowOff>
    </xdr:from>
    <xdr:to>
      <xdr:col>59</xdr:col>
      <xdr:colOff>0</xdr:colOff>
      <xdr:row>501</xdr:row>
      <xdr:rowOff>131648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2602471-00D1-4ABA-B5ED-3C59D44B77ED}"/>
            </a:ext>
          </a:extLst>
        </xdr:cNvPr>
        <xdr:cNvSpPr txBox="1"/>
      </xdr:nvSpPr>
      <xdr:spPr>
        <a:xfrm>
          <a:off x="46970950" y="92087700"/>
          <a:ext cx="2486931" cy="665048"/>
        </a:xfrm>
        <a:prstGeom prst="roundRect">
          <a:avLst/>
        </a:prstGeom>
        <a:solidFill>
          <a:srgbClr val="FFFFCC"/>
        </a:solidFill>
        <a:ln w="1" cmpd="sng">
          <a:solidFill>
            <a:schemeClr val="lt1">
              <a:shade val="50000"/>
            </a:schemeClr>
          </a:solidFill>
        </a:ln>
        <a:effectLst>
          <a:outerShdw blurRad="63500" dist="37357" dir="2700000" rotWithShape="0">
            <a:scrgbClr r="0" g="0" b="0"/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25400" rIns="25400" bIns="25400" rtlCol="0" anchor="t">
          <a:spAutoFit/>
        </a:bodyPr>
        <a:lstStyle/>
        <a:p>
          <a:r>
            <a:rPr lang="en-CA" sz="1100">
              <a:latin typeface="Arial" panose="020B0604020202020204" pitchFamily="34" charset="0"/>
            </a:rPr>
            <a:t>Mean = 220±48  [22%]  95% conf.
Wtd by data-pt errs only, 0 of 7 rej.
MSWD = 10.3, probability = 0.000</a:t>
          </a:r>
        </a:p>
      </xdr:txBody>
    </xdr:sp>
    <xdr:clientData/>
  </xdr:twoCellAnchor>
  <xdr:twoCellAnchor>
    <xdr:from>
      <xdr:col>65</xdr:col>
      <xdr:colOff>0</xdr:colOff>
      <xdr:row>510</xdr:row>
      <xdr:rowOff>0</xdr:rowOff>
    </xdr:from>
    <xdr:to>
      <xdr:col>67</xdr:col>
      <xdr:colOff>327419</xdr:colOff>
      <xdr:row>513</xdr:row>
      <xdr:rowOff>131648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5FD808-26BE-4040-BB77-9B561ED09988}"/>
            </a:ext>
          </a:extLst>
        </xdr:cNvPr>
        <xdr:cNvSpPr txBox="1"/>
      </xdr:nvSpPr>
      <xdr:spPr>
        <a:xfrm>
          <a:off x="56540400" y="94221300"/>
          <a:ext cx="2594369" cy="665048"/>
        </a:xfrm>
        <a:prstGeom prst="roundRect">
          <a:avLst/>
        </a:prstGeom>
        <a:solidFill>
          <a:srgbClr val="FFFFCC"/>
        </a:solidFill>
        <a:ln w="1" cmpd="sng">
          <a:solidFill>
            <a:schemeClr val="lt1">
              <a:shade val="50000"/>
            </a:schemeClr>
          </a:solidFill>
        </a:ln>
        <a:effectLst>
          <a:outerShdw blurRad="63500" dist="37357" dir="2700000" rotWithShape="0">
            <a:scrgbClr r="0" g="0" b="0"/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25400" rIns="25400" bIns="25400" rtlCol="0" anchor="t">
          <a:spAutoFit/>
        </a:bodyPr>
        <a:lstStyle/>
        <a:p>
          <a:r>
            <a:rPr lang="en-CA" sz="1100">
              <a:latin typeface="Arial" panose="020B0604020202020204" pitchFamily="34" charset="0"/>
            </a:rPr>
            <a:t>Mean = 1.023±0.018  [1.8%]  95% conf.
Wtd by data-pt errs only, 1 of 21 rej.
MSWD = 1.5, probability = 0.066</a:t>
          </a:r>
        </a:p>
      </xdr:txBody>
    </xdr:sp>
    <xdr:clientData/>
  </xdr:twoCellAnchor>
  <xdr:twoCellAnchor>
    <xdr:from>
      <xdr:col>65</xdr:col>
      <xdr:colOff>0</xdr:colOff>
      <xdr:row>510</xdr:row>
      <xdr:rowOff>0</xdr:rowOff>
    </xdr:from>
    <xdr:to>
      <xdr:col>67</xdr:col>
      <xdr:colOff>327419</xdr:colOff>
      <xdr:row>513</xdr:row>
      <xdr:rowOff>131648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61376CE-FCD6-4D04-AC9A-A7CCA08E4558}"/>
            </a:ext>
          </a:extLst>
        </xdr:cNvPr>
        <xdr:cNvSpPr txBox="1"/>
      </xdr:nvSpPr>
      <xdr:spPr>
        <a:xfrm>
          <a:off x="56540400" y="94221300"/>
          <a:ext cx="2594369" cy="665048"/>
        </a:xfrm>
        <a:prstGeom prst="roundRect">
          <a:avLst/>
        </a:prstGeom>
        <a:solidFill>
          <a:srgbClr val="FFFFCC"/>
        </a:solidFill>
        <a:ln w="1" cmpd="sng">
          <a:solidFill>
            <a:schemeClr val="lt1">
              <a:shade val="50000"/>
            </a:schemeClr>
          </a:solidFill>
        </a:ln>
        <a:effectLst>
          <a:outerShdw blurRad="63500" dist="37357" dir="2700000" rotWithShape="0">
            <a:scrgbClr r="0" g="0" b="0"/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25400" rIns="25400" bIns="25400" rtlCol="0" anchor="t">
          <a:spAutoFit/>
        </a:bodyPr>
        <a:lstStyle/>
        <a:p>
          <a:r>
            <a:rPr lang="en-CA" sz="1100">
              <a:latin typeface="Arial" panose="020B0604020202020204" pitchFamily="34" charset="0"/>
            </a:rPr>
            <a:t>Mean = 1.023±0.018  [1.8%]  95% conf.
Wtd by data-pt errs only, 0 of 20 rej.
MSWD = 1.5, probability = 0.066</a:t>
          </a:r>
        </a:p>
      </xdr:txBody>
    </xdr:sp>
    <xdr:clientData/>
  </xdr:twoCellAnchor>
  <xdr:twoCellAnchor>
    <xdr:from>
      <xdr:col>52</xdr:col>
      <xdr:colOff>412747</xdr:colOff>
      <xdr:row>229</xdr:row>
      <xdr:rowOff>84670</xdr:rowOff>
    </xdr:from>
    <xdr:to>
      <xdr:col>55</xdr:col>
      <xdr:colOff>503913</xdr:colOff>
      <xdr:row>233</xdr:row>
      <xdr:rowOff>140805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A6305AF-2C81-4EBE-AC2F-2BA633908237}"/>
            </a:ext>
          </a:extLst>
        </xdr:cNvPr>
        <xdr:cNvSpPr txBox="1"/>
      </xdr:nvSpPr>
      <xdr:spPr>
        <a:xfrm>
          <a:off x="42443397" y="43505970"/>
          <a:ext cx="2396216" cy="767335"/>
        </a:xfrm>
        <a:prstGeom prst="roundRect">
          <a:avLst/>
        </a:prstGeom>
        <a:solidFill>
          <a:srgbClr val="CCFFCC"/>
        </a:solidFill>
        <a:ln w="1" cmpd="sng">
          <a:solidFill>
            <a:schemeClr val="lt1">
              <a:shade val="50000"/>
            </a:schemeClr>
          </a:solidFill>
        </a:ln>
        <a:effectLst>
          <a:outerShdw blurRad="63500" dist="37357" dir="2700000" rotWithShape="0">
            <a:scrgbClr r="0" g="0" b="0"/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25400" rIns="25400" bIns="25400" rtlCol="0" anchor="t">
          <a:spAutoFit/>
        </a:bodyPr>
        <a:lstStyle/>
        <a:p>
          <a:r>
            <a:rPr lang="en-CA" sz="1100">
              <a:latin typeface="Arial" panose="020B0604020202020204" pitchFamily="34" charset="0"/>
            </a:rPr>
            <a:t>Slope = 0.700±0.14 (2</a:t>
          </a:r>
          <a:r>
            <a:rPr lang="en-CA" sz="1100">
              <a:latin typeface="Symbol" panose="05050102010706020507" pitchFamily="18" charset="2"/>
            </a:rPr>
            <a:t>s</a:t>
          </a:r>
          <a:r>
            <a:rPr lang="en-CA" sz="1100">
              <a:latin typeface="Arial" panose="020B0604020202020204" pitchFamily="34" charset="0"/>
            </a:rPr>
            <a:t>)
Inter = 0.254±0.12
Xbar = 0.843942,  Ybar =0.843942
MSWD = 0.000,  Probability = 1.000</a:t>
          </a:r>
        </a:p>
      </xdr:txBody>
    </xdr:sp>
    <xdr:clientData/>
  </xdr:twoCellAnchor>
  <xdr:twoCellAnchor>
    <xdr:from>
      <xdr:col>50</xdr:col>
      <xdr:colOff>405342</xdr:colOff>
      <xdr:row>180</xdr:row>
      <xdr:rowOff>8467</xdr:rowOff>
    </xdr:from>
    <xdr:to>
      <xdr:col>53</xdr:col>
      <xdr:colOff>425305</xdr:colOff>
      <xdr:row>184</xdr:row>
      <xdr:rowOff>79790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B453C6D-08B0-45BE-8A13-979781942CDC}"/>
            </a:ext>
          </a:extLst>
        </xdr:cNvPr>
        <xdr:cNvSpPr txBox="1"/>
      </xdr:nvSpPr>
      <xdr:spPr>
        <a:xfrm>
          <a:off x="40899292" y="34647717"/>
          <a:ext cx="2325013" cy="846023"/>
        </a:xfrm>
        <a:prstGeom prst="roundRect">
          <a:avLst/>
        </a:prstGeom>
        <a:solidFill>
          <a:srgbClr val="FFFFCC"/>
        </a:solidFill>
        <a:ln w="1" cmpd="sng">
          <a:solidFill>
            <a:schemeClr val="lt1">
              <a:shade val="50000"/>
            </a:schemeClr>
          </a:solidFill>
        </a:ln>
        <a:effectLst>
          <a:outerShdw blurRad="63500" dist="37357" dir="2700000" rotWithShape="0">
            <a:scrgbClr r="0" g="0" b="0"/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25400" rIns="25400" bIns="25400" rtlCol="0" anchor="t">
          <a:spAutoFit/>
        </a:bodyPr>
        <a:lstStyle/>
        <a:p>
          <a:r>
            <a:rPr lang="en-CA" sz="1100">
              <a:latin typeface="Arial" panose="020B0604020202020204" pitchFamily="34" charset="0"/>
            </a:rPr>
            <a:t>Mean = 22.0±5.5  [25%]  95% conf.
Wtd by data-pt errs only, 0 of 2 rej.
MSWD = 0.63, probability = 0.43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A779C-E435-4519-B2C4-149CB6DF0DCD}">
  <sheetPr>
    <pageSetUpPr autoPageBreaks="0"/>
  </sheetPr>
  <dimension ref="A1:CB567"/>
  <sheetViews>
    <sheetView tabSelected="1" topLeftCell="E1" zoomScale="75" zoomScaleNormal="50" workbookViewId="0">
      <selection activeCell="T90" sqref="T90"/>
    </sheetView>
  </sheetViews>
  <sheetFormatPr defaultColWidth="10.796875" defaultRowHeight="13.9" x14ac:dyDescent="0.35"/>
  <cols>
    <col min="1" max="1" width="24.265625" style="1" customWidth="1"/>
    <col min="2" max="2" width="8.73046875" style="2" customWidth="1"/>
    <col min="3" max="3" width="10.265625" style="2" customWidth="1"/>
    <col min="4" max="4" width="10.265625" style="3" customWidth="1"/>
    <col min="5" max="5" width="11" style="2" bestFit="1" customWidth="1"/>
    <col min="6" max="6" width="11" style="2" customWidth="1"/>
    <col min="7" max="8" width="11" style="2" bestFit="1" customWidth="1"/>
    <col min="9" max="9" width="11.19921875" style="2" bestFit="1" customWidth="1"/>
    <col min="10" max="10" width="11" style="2" customWidth="1"/>
    <col min="11" max="11" width="12.796875" style="2" bestFit="1" customWidth="1"/>
    <col min="12" max="12" width="11.796875" style="2" bestFit="1" customWidth="1"/>
    <col min="13" max="13" width="11.19921875" style="2" bestFit="1" customWidth="1"/>
    <col min="14" max="17" width="11" style="12" hidden="1" customWidth="1"/>
    <col min="18" max="19" width="11" style="3" bestFit="1" customWidth="1"/>
    <col min="20" max="20" width="11" style="76" customWidth="1"/>
    <col min="21" max="21" width="15.73046875" style="3" bestFit="1" customWidth="1"/>
    <col min="22" max="22" width="17" style="3" bestFit="1" customWidth="1"/>
    <col min="23" max="23" width="16.796875" style="3" customWidth="1"/>
    <col min="24" max="24" width="13.46484375" style="12" customWidth="1"/>
    <col min="25" max="25" width="13.265625" style="12" bestFit="1" customWidth="1"/>
    <col min="26" max="26" width="11" style="12" customWidth="1"/>
    <col min="27" max="27" width="9.796875" style="12" customWidth="1"/>
    <col min="28" max="28" width="12.46484375" style="12" bestFit="1" customWidth="1"/>
    <col min="29" max="31" width="12.265625" style="12" customWidth="1"/>
    <col min="32" max="32" width="9.265625" style="12" customWidth="1"/>
    <col min="33" max="33" width="11.796875" style="12" bestFit="1" customWidth="1"/>
    <col min="34" max="34" width="11.19921875" style="12" bestFit="1" customWidth="1"/>
    <col min="35" max="37" width="11.19921875" style="12" customWidth="1"/>
    <col min="38" max="39" width="11" style="12" bestFit="1" customWidth="1"/>
    <col min="40" max="40" width="21.265625" style="12" customWidth="1"/>
    <col min="41" max="45" width="11" style="12" customWidth="1"/>
    <col min="46" max="46" width="36.73046875" style="12" customWidth="1"/>
    <col min="47" max="48" width="11" style="12" customWidth="1"/>
    <col min="49" max="49" width="14.73046875" style="12" customWidth="1"/>
    <col min="50" max="51" width="11" style="12" customWidth="1"/>
    <col min="52" max="52" width="21.19921875" style="12" customWidth="1"/>
    <col min="53" max="53" width="21.73046875" style="12" customWidth="1"/>
    <col min="54" max="54" width="16.796875" style="12" customWidth="1"/>
    <col min="55" max="55" width="20.06640625" style="12" customWidth="1"/>
    <col min="56" max="56" width="15.73046875" style="12" customWidth="1"/>
    <col min="57" max="57" width="11" style="12" customWidth="1"/>
    <col min="58" max="58" width="13.73046875" style="12" bestFit="1" customWidth="1"/>
    <col min="59" max="59" width="9.59765625" style="12" customWidth="1"/>
    <col min="60" max="60" width="13.796875" style="12" bestFit="1" customWidth="1"/>
    <col min="61" max="61" width="13.265625" style="12" bestFit="1" customWidth="1"/>
    <col min="62" max="62" width="15.46484375" style="12" bestFit="1" customWidth="1"/>
    <col min="63" max="63" width="19.59765625" style="12" customWidth="1"/>
    <col min="64" max="64" width="20" style="12" customWidth="1"/>
    <col min="65" max="65" width="11" style="12" bestFit="1" customWidth="1"/>
    <col min="66" max="67" width="10.796875" style="12"/>
    <col min="68" max="68" width="11.33203125" style="12" bestFit="1" customWidth="1"/>
    <col min="69" max="74" width="10.796875" style="12"/>
    <col min="75" max="75" width="11.796875" style="12" bestFit="1" customWidth="1"/>
    <col min="76" max="16384" width="10.796875" style="12"/>
  </cols>
  <sheetData>
    <row r="1" spans="1:65" ht="60" customHeight="1" x14ac:dyDescent="0.4">
      <c r="I1" s="4" t="s">
        <v>0</v>
      </c>
      <c r="J1" s="4"/>
      <c r="K1" s="4" t="s">
        <v>1</v>
      </c>
      <c r="L1" s="4" t="s">
        <v>2</v>
      </c>
      <c r="M1" s="5" t="s">
        <v>3</v>
      </c>
      <c r="N1" s="6"/>
      <c r="O1" s="6"/>
      <c r="P1" s="6"/>
      <c r="Q1" s="6"/>
      <c r="R1" s="7" t="s">
        <v>4</v>
      </c>
      <c r="S1" s="7"/>
      <c r="T1" s="73"/>
      <c r="U1" s="8" t="s">
        <v>5</v>
      </c>
      <c r="V1" s="9" t="s">
        <v>6</v>
      </c>
      <c r="W1" s="9"/>
      <c r="X1" s="10" t="s">
        <v>7</v>
      </c>
      <c r="Y1" s="10" t="s">
        <v>8</v>
      </c>
      <c r="Z1" s="11" t="s">
        <v>9</v>
      </c>
      <c r="AA1" s="11" t="s">
        <v>10</v>
      </c>
      <c r="AB1" s="12" t="s">
        <v>11</v>
      </c>
      <c r="AE1" s="13"/>
      <c r="AF1" s="14"/>
      <c r="AG1" s="13"/>
      <c r="AH1" s="14"/>
      <c r="AI1" s="14"/>
      <c r="AJ1" s="58"/>
      <c r="AK1" s="14"/>
      <c r="AT1" s="1" t="s">
        <v>104</v>
      </c>
    </row>
    <row r="2" spans="1:65" ht="39" customHeight="1" x14ac:dyDescent="0.4">
      <c r="I2" s="15">
        <v>75584</v>
      </c>
      <c r="J2" s="15"/>
      <c r="K2" s="15">
        <f>1.401*10^10</f>
        <v>14010000000</v>
      </c>
      <c r="L2" s="15">
        <f>4.4683*10^9</f>
        <v>4468300000</v>
      </c>
      <c r="M2" s="15">
        <f>I2/K2</f>
        <v>5.3950035688793721E-6</v>
      </c>
      <c r="N2" s="16"/>
      <c r="O2" s="16"/>
      <c r="P2" s="16"/>
      <c r="Q2" s="16"/>
      <c r="R2" s="17">
        <f>L2/K2</f>
        <v>0.31893647394718061</v>
      </c>
      <c r="S2" s="17"/>
      <c r="T2" s="74"/>
      <c r="U2" s="3">
        <f>L2/K2</f>
        <v>0.31893647394718061</v>
      </c>
      <c r="V2" s="9">
        <f>9.1705*10^-6</f>
        <v>9.1704999999999997E-6</v>
      </c>
      <c r="W2" s="9"/>
      <c r="X2" s="10">
        <f>4.9475*10^-11</f>
        <v>4.9474999999999996E-11</v>
      </c>
      <c r="Y2" s="10">
        <f>1.55125*10^-10</f>
        <v>1.5512500000000002E-10</v>
      </c>
      <c r="Z2" s="12">
        <f>Y2/X2</f>
        <v>3.1354219302678126</v>
      </c>
      <c r="AA2" s="12">
        <f>V2/X2</f>
        <v>185356.24052551796</v>
      </c>
      <c r="AB2" s="12">
        <f>V2/Y2</f>
        <v>59116.841257050757</v>
      </c>
      <c r="AC2" s="12">
        <f>1/AB2</f>
        <v>1.6915653454010144E-5</v>
      </c>
      <c r="AD2" s="12">
        <f>2.28*U2</f>
        <v>0.72717516059957177</v>
      </c>
      <c r="AE2" s="3">
        <f>Z2/3</f>
        <v>1.0451406434226043</v>
      </c>
      <c r="AF2" s="3"/>
      <c r="AG2" s="3"/>
      <c r="AH2" s="3"/>
      <c r="AI2" s="3"/>
      <c r="AJ2" s="3"/>
      <c r="AK2" s="3"/>
      <c r="AT2" s="79">
        <v>3.3052509356026863E-6</v>
      </c>
      <c r="BD2" s="18"/>
    </row>
    <row r="3" spans="1:65" ht="19.05" customHeight="1" x14ac:dyDescent="0.4">
      <c r="B3" s="19"/>
      <c r="C3" s="19"/>
      <c r="D3" s="20"/>
      <c r="E3" s="129" t="s">
        <v>12</v>
      </c>
      <c r="F3" s="129"/>
      <c r="G3" s="129"/>
      <c r="H3" s="129"/>
      <c r="I3" s="129"/>
      <c r="J3" s="129"/>
      <c r="K3" s="129"/>
      <c r="L3" s="129"/>
      <c r="M3" s="129"/>
      <c r="N3" s="1"/>
      <c r="O3" s="1"/>
      <c r="P3" s="1"/>
      <c r="Q3" s="1"/>
      <c r="R3" s="20"/>
      <c r="S3" s="20"/>
      <c r="T3" s="75"/>
      <c r="U3" s="21" t="s">
        <v>13</v>
      </c>
      <c r="V3" s="21"/>
      <c r="W3" s="21"/>
      <c r="X3" s="14"/>
      <c r="Z3" s="128" t="s">
        <v>14</v>
      </c>
      <c r="AA3" s="128"/>
      <c r="AE3" s="128" t="s">
        <v>15</v>
      </c>
      <c r="AF3" s="128"/>
      <c r="AG3" s="128"/>
      <c r="AH3" s="128"/>
      <c r="AI3" s="22"/>
      <c r="AJ3" s="22"/>
      <c r="AK3" s="130" t="s">
        <v>16</v>
      </c>
      <c r="AL3" s="130"/>
      <c r="AM3" s="130"/>
      <c r="AN3" s="130"/>
      <c r="AR3" s="130"/>
      <c r="AS3" s="130"/>
      <c r="AT3" s="130"/>
      <c r="AU3" s="130"/>
      <c r="BF3" s="130"/>
      <c r="BG3" s="130"/>
      <c r="BH3" s="14"/>
      <c r="BI3" s="14"/>
      <c r="BL3" s="128"/>
      <c r="BM3" s="128"/>
    </row>
    <row r="4" spans="1:65" s="23" customFormat="1" ht="43.05" customHeight="1" x14ac:dyDescent="0.35">
      <c r="A4" s="23" t="s">
        <v>17</v>
      </c>
      <c r="B4" s="24" t="s">
        <v>18</v>
      </c>
      <c r="C4" s="24" t="s">
        <v>19</v>
      </c>
      <c r="D4" s="25" t="s">
        <v>20</v>
      </c>
      <c r="E4" s="26" t="s">
        <v>21</v>
      </c>
      <c r="F4" s="26"/>
      <c r="G4" s="26" t="s">
        <v>22</v>
      </c>
      <c r="H4" s="24" t="s">
        <v>23</v>
      </c>
      <c r="I4" s="26" t="s">
        <v>24</v>
      </c>
      <c r="J4" s="24" t="s">
        <v>25</v>
      </c>
      <c r="K4" s="24" t="s">
        <v>23</v>
      </c>
      <c r="L4" s="26" t="s">
        <v>26</v>
      </c>
      <c r="M4" s="24" t="s">
        <v>23</v>
      </c>
      <c r="R4" s="27" t="s">
        <v>27</v>
      </c>
      <c r="S4" s="27" t="s">
        <v>28</v>
      </c>
      <c r="T4" s="123" t="s">
        <v>29</v>
      </c>
      <c r="U4" s="28" t="s">
        <v>30</v>
      </c>
      <c r="V4" s="25"/>
      <c r="W4" s="25" t="s">
        <v>31</v>
      </c>
      <c r="X4" s="23" t="s">
        <v>32</v>
      </c>
      <c r="Y4" s="29" t="s">
        <v>33</v>
      </c>
      <c r="Z4" s="23" t="s">
        <v>34</v>
      </c>
      <c r="AA4" s="23" t="s">
        <v>33</v>
      </c>
      <c r="AB4" s="23" t="s">
        <v>35</v>
      </c>
      <c r="AC4" s="23" t="s">
        <v>33</v>
      </c>
      <c r="AE4" s="23" t="s">
        <v>36</v>
      </c>
      <c r="AF4" s="23" t="s">
        <v>25</v>
      </c>
      <c r="AG4" s="23" t="s">
        <v>37</v>
      </c>
      <c r="AH4" s="23" t="s">
        <v>25</v>
      </c>
      <c r="AJ4" s="23" t="s">
        <v>36</v>
      </c>
      <c r="AK4" s="23" t="s">
        <v>25</v>
      </c>
      <c r="AL4" s="23" t="s">
        <v>37</v>
      </c>
      <c r="AM4" s="23" t="s">
        <v>25</v>
      </c>
      <c r="AN4" s="30" t="s">
        <v>38</v>
      </c>
      <c r="AO4" s="30" t="s">
        <v>39</v>
      </c>
      <c r="AP4" s="30" t="s">
        <v>40</v>
      </c>
      <c r="AQ4" s="119" t="s">
        <v>105</v>
      </c>
      <c r="AR4" s="119"/>
      <c r="AS4" s="30"/>
      <c r="AT4" s="30"/>
      <c r="AU4" s="30"/>
      <c r="AV4" s="30"/>
      <c r="AW4" s="124" t="s">
        <v>107</v>
      </c>
      <c r="AX4" s="124" t="s">
        <v>108</v>
      </c>
      <c r="AY4" s="124" t="s">
        <v>109</v>
      </c>
      <c r="AZ4" s="124" t="s">
        <v>110</v>
      </c>
      <c r="BA4" s="124" t="s">
        <v>111</v>
      </c>
      <c r="BB4" s="124" t="s">
        <v>112</v>
      </c>
      <c r="BC4" s="124" t="s">
        <v>113</v>
      </c>
      <c r="BD4" s="125" t="s">
        <v>114</v>
      </c>
      <c r="BE4" s="125" t="s">
        <v>115</v>
      </c>
      <c r="BF4" s="125" t="s">
        <v>116</v>
      </c>
      <c r="BG4" s="125" t="s">
        <v>117</v>
      </c>
      <c r="BH4" s="125" t="s">
        <v>118</v>
      </c>
      <c r="BI4" s="125" t="s">
        <v>119</v>
      </c>
      <c r="BL4" s="30"/>
      <c r="BM4" s="30"/>
    </row>
    <row r="5" spans="1:65" ht="27.7" customHeight="1" x14ac:dyDescent="0.5">
      <c r="A5" s="31" t="s">
        <v>41</v>
      </c>
      <c r="B5" s="32"/>
      <c r="C5" s="32"/>
      <c r="D5" s="33"/>
      <c r="E5" s="34"/>
      <c r="I5" s="35"/>
      <c r="K5" s="35"/>
      <c r="L5" s="35"/>
      <c r="M5" s="35"/>
      <c r="N5" s="36"/>
      <c r="O5" s="37"/>
      <c r="P5" s="37"/>
      <c r="Q5" s="36"/>
      <c r="S5" s="38"/>
      <c r="W5" s="18"/>
      <c r="X5" s="39"/>
      <c r="Y5" s="39"/>
      <c r="Z5" s="38"/>
      <c r="AA5" s="38"/>
      <c r="AB5" s="39"/>
      <c r="AC5" s="39"/>
      <c r="AD5" s="40"/>
      <c r="AE5" s="18"/>
      <c r="AF5" s="18"/>
      <c r="AG5" s="18"/>
      <c r="AH5" s="18"/>
      <c r="AI5" s="18"/>
      <c r="AJ5" s="18"/>
      <c r="AK5" s="18"/>
      <c r="AL5" s="18"/>
      <c r="AM5" s="18"/>
      <c r="AN5" s="42"/>
      <c r="AO5" s="40"/>
      <c r="AP5" s="40"/>
      <c r="AQ5" s="93"/>
      <c r="AR5" s="93"/>
      <c r="AS5" s="1"/>
      <c r="AT5" s="1"/>
      <c r="AU5" s="1"/>
      <c r="AV5" s="1"/>
      <c r="AW5" s="1"/>
    </row>
    <row r="6" spans="1:65" ht="16.5" customHeight="1" x14ac:dyDescent="0.45">
      <c r="A6" t="s">
        <v>42</v>
      </c>
      <c r="B6" s="32">
        <f>(30*I6)/MEDIAN($I$6:$I$17)</f>
        <v>26.743867129582032</v>
      </c>
      <c r="C6" s="32">
        <f>(80*L6)/MEDIAN($L$6:$L$17)</f>
        <v>75.662754576060081</v>
      </c>
      <c r="D6" s="33"/>
      <c r="E6" s="46">
        <v>1.02226263752542</v>
      </c>
      <c r="G6">
        <v>19.8605962141147</v>
      </c>
      <c r="H6">
        <v>2.55402651107116</v>
      </c>
      <c r="I6">
        <v>346019.78006018302</v>
      </c>
      <c r="J6" s="2">
        <f t="shared" ref="J6:J64" si="0">K6/1.96</f>
        <v>6964.836278102398</v>
      </c>
      <c r="K6">
        <v>13651.0791050807</v>
      </c>
      <c r="L6">
        <v>1025255.31560399</v>
      </c>
      <c r="M6">
        <v>38937.313532997803</v>
      </c>
      <c r="N6" s="36"/>
      <c r="O6" s="37"/>
      <c r="P6" s="37"/>
      <c r="Q6" s="36"/>
      <c r="R6" s="3">
        <f t="shared" ref="R6:R64" si="1">G6-U6</f>
        <v>1.1436822017809547</v>
      </c>
      <c r="S6" s="38">
        <f t="shared" ref="S6:S64" si="2">SQRT(((H6/G6)/1.96)^2+(V6/U6)^2)*R6</f>
        <v>0.10612004077381033</v>
      </c>
      <c r="T6" s="77">
        <v>0.34208820650055849</v>
      </c>
      <c r="U6" s="3">
        <f>G6-(I6*$AT$2)</f>
        <v>18.716914012333746</v>
      </c>
      <c r="V6" s="3">
        <f t="shared" ref="V6:V64" si="3">H6/G6*U6/1.96</f>
        <v>1.2280365500955559</v>
      </c>
      <c r="W6" s="18">
        <f t="shared" ref="W6:W17" si="4">SQRT((V6/U6)^2+($W$83)^2+(T6/1.96)^2)*U6</f>
        <v>3.4899495436225987</v>
      </c>
      <c r="X6" s="39">
        <f t="shared" ref="X6:X64" si="5">U6/L6</f>
        <v>1.825585659246974E-5</v>
      </c>
      <c r="Y6" s="39">
        <f t="shared" ref="Y6:Y64" si="6">SQRT(((M6/1.96)/L6)^2+(W6/U6)^2)*X6</f>
        <v>3.422311473059816E-6</v>
      </c>
      <c r="Z6" s="38">
        <f>L6/I6</f>
        <v>2.9629962640449858</v>
      </c>
      <c r="AA6" s="38">
        <f t="shared" ref="AA6:AA64" si="7">(SQRT((M6/1.96)/L6)^2+(J6/I6)^2)*Z6</f>
        <v>5.8613303636312362E-2</v>
      </c>
      <c r="AB6" s="39">
        <f t="shared" ref="AB6:AB64" si="8">U6/I6</f>
        <v>5.4092034880428871E-5</v>
      </c>
      <c r="AC6" s="39">
        <f t="shared" ref="AC6:AC64" si="9">SQRT((W6/U6)^2+(J6/I6)^2)*AB6</f>
        <v>1.0144580221033923E-5</v>
      </c>
      <c r="AD6" s="40"/>
      <c r="AE6" s="18">
        <f t="shared" ref="AE6:AE64" si="10">((L6/I6)*$Z$2)/1.01</f>
        <v>9.1982608570180666</v>
      </c>
      <c r="AF6" s="18">
        <f>(SQRT(((M6/1.96)/L6)^2 + (J6/I6)^2+($AR$17/$AQ$17)^2)*AE6)</f>
        <v>0.26439666139278184</v>
      </c>
      <c r="AG6" s="18">
        <f t="shared" ref="AG6:AG64" si="11">(G6/I6)*$AA$2</f>
        <v>10.638945115228244</v>
      </c>
      <c r="AH6" s="18">
        <f t="shared" ref="AH6:AH64" si="12">AC6/AB6*AG6</f>
        <v>1.9952592359889088</v>
      </c>
      <c r="AI6" s="18"/>
      <c r="AJ6" s="18">
        <f t="shared" ref="AJ6:AJ64" si="13">AE6</f>
        <v>9.1982608570180666</v>
      </c>
      <c r="AK6" s="18">
        <f>AF6/AE6*AJ6</f>
        <v>0.26439666139278184</v>
      </c>
      <c r="AL6" s="18">
        <f t="shared" ref="AL6:AL64" si="14">(U6/I6)*$AA$2</f>
        <v>10.02629622781148</v>
      </c>
      <c r="AM6" s="18">
        <f t="shared" ref="AM6:AM64" si="15">AC6/AB6*AL6</f>
        <v>1.8803612514803758</v>
      </c>
      <c r="AN6" s="42">
        <f t="shared" ref="AN6:AN43" si="16">AL6/AE6</f>
        <v>1.0900208619504024</v>
      </c>
      <c r="AO6" s="40">
        <f t="shared" ref="AO6:AO43" si="17">SQRT((AM6/AL6)^2+(AK6/AJ6)^2)*AN6</f>
        <v>0.20681286753435724</v>
      </c>
      <c r="AP6" s="40">
        <f>1/((I6/L6)/(29/81))</f>
        <v>1.0608258229296861</v>
      </c>
      <c r="AQ6" s="93"/>
      <c r="AR6" s="93"/>
      <c r="AS6" s="1"/>
      <c r="AU6" s="1"/>
      <c r="AV6" s="40"/>
      <c r="AW6" s="126" t="e">
        <f>(-LN(1-BD6)/0.0000091705)/1000</f>
        <v>#NUM!</v>
      </c>
      <c r="AX6" s="126" t="e">
        <f>((-LN(1-(BD6+BE6))/0.0000091705)/1000)-AW6</f>
        <v>#NUM!</v>
      </c>
      <c r="AY6" s="126" t="e">
        <f>AW6-((-LN(1-(BD6-BE6))/0.0000091705)/1000)</f>
        <v>#NUM!</v>
      </c>
      <c r="AZ6" s="40">
        <v>1</v>
      </c>
      <c r="BA6" s="12">
        <v>5.0000000000000001E-3</v>
      </c>
      <c r="BB6" s="12">
        <v>1</v>
      </c>
      <c r="BC6" s="12">
        <v>5.0000000000000001E-3</v>
      </c>
      <c r="BD6" s="69">
        <f t="shared" ref="BD6:BD17" si="18">(AL6-BB6)/(AJ6-AZ6)</f>
        <v>1.1010013447040514</v>
      </c>
      <c r="BE6" s="69">
        <f>SQRT(BD6^2*((BG6^2/BF6^2)+(BI6^2/BH6^2)))</f>
        <v>0.23209498504700071</v>
      </c>
      <c r="BF6" s="127">
        <f t="shared" ref="BF6:BF17" si="19">AJ6-AZ6</f>
        <v>8.1982608570180666</v>
      </c>
      <c r="BG6" s="127">
        <f t="shared" ref="BG6:BG17" si="20">SQRT(BA6^2+AK6^2)</f>
        <v>0.26444393461686605</v>
      </c>
      <c r="BH6" s="127">
        <f t="shared" ref="BH6:BH17" si="21">AL6-BB6</f>
        <v>9.0262962278114802</v>
      </c>
      <c r="BI6" s="127">
        <f t="shared" ref="BI6:BI17" si="22">SQRT(BC6^2+AM6^2)</f>
        <v>1.8803678991274142</v>
      </c>
    </row>
    <row r="7" spans="1:65" ht="14.2" customHeight="1" x14ac:dyDescent="0.45">
      <c r="A7" t="s">
        <v>43</v>
      </c>
      <c r="B7" s="32">
        <f>(30*I7)/MEDIAN($I$6:$I$17)</f>
        <v>26.116702581703073</v>
      </c>
      <c r="C7" s="32">
        <f t="shared" ref="C7:C17" si="23">(80*L7)/MEDIAN($L$6:$L$17)</f>
        <v>72.234176976971611</v>
      </c>
      <c r="D7" s="33"/>
      <c r="E7" s="46">
        <v>4.4753813522463499</v>
      </c>
      <c r="G7">
        <v>14.583120707062401</v>
      </c>
      <c r="H7">
        <v>2.2212789101539498</v>
      </c>
      <c r="I7">
        <v>337905.34627739701</v>
      </c>
      <c r="J7" s="2">
        <f t="shared" si="0"/>
        <v>8344.7344924174504</v>
      </c>
      <c r="K7">
        <v>16355.679605138201</v>
      </c>
      <c r="L7">
        <v>978796.95669118303</v>
      </c>
      <c r="M7">
        <v>45622.519092556402</v>
      </c>
      <c r="N7" s="36"/>
      <c r="O7" s="37"/>
      <c r="P7" s="37"/>
      <c r="Q7" s="36"/>
      <c r="R7" s="3">
        <f t="shared" si="1"/>
        <v>1.1168619619285156</v>
      </c>
      <c r="S7" s="38">
        <f t="shared" si="2"/>
        <v>0.12274704596165197</v>
      </c>
      <c r="T7" s="77">
        <v>0.38363111481186823</v>
      </c>
      <c r="U7" s="3">
        <f t="shared" ref="U7:U17" si="24">G7-(I7*$AT$2)</f>
        <v>13.466258745133885</v>
      </c>
      <c r="V7" s="3">
        <f t="shared" si="3"/>
        <v>1.0465102978349754</v>
      </c>
      <c r="W7" s="18">
        <f t="shared" si="4"/>
        <v>2.835908604406685</v>
      </c>
      <c r="X7" s="39">
        <f t="shared" si="5"/>
        <v>1.3757969569762954E-5</v>
      </c>
      <c r="Y7" s="39">
        <f t="shared" si="6"/>
        <v>2.9157556527020545E-6</v>
      </c>
      <c r="Z7" s="38">
        <f t="shared" ref="Z7:Z64" si="25">L7/I7</f>
        <v>2.8966601667428433</v>
      </c>
      <c r="AA7" s="38">
        <f t="shared" si="7"/>
        <v>7.065212606843603E-2</v>
      </c>
      <c r="AB7" s="39">
        <f t="shared" si="8"/>
        <v>3.9852162427992528E-5</v>
      </c>
      <c r="AC7" s="39">
        <f t="shared" si="9"/>
        <v>8.4501201356123028E-6</v>
      </c>
      <c r="AD7" s="40"/>
      <c r="AE7" s="18">
        <f>((L7/I7)*$Z$2)/1.01</f>
        <v>8.9923285260779497</v>
      </c>
      <c r="AF7" s="18">
        <f t="shared" ref="AF7:AF64" si="26">(SQRT(((M7/1.96)/L7)^2 + (J7/I7)^2+($AR$17/$AQ$17)^2)*AE7)</f>
        <v>0.31422057231834399</v>
      </c>
      <c r="AG7" s="18">
        <f t="shared" si="11"/>
        <v>7.9994958918817574</v>
      </c>
      <c r="AH7" s="18">
        <f>AC7/AB7*AG7</f>
        <v>1.6961865352445062</v>
      </c>
      <c r="AI7" s="18"/>
      <c r="AJ7" s="18">
        <f t="shared" si="13"/>
        <v>8.9923285260779497</v>
      </c>
      <c r="AK7" s="18">
        <f t="shared" ref="AK7:AK64" si="27">AF7/AE7*AJ7</f>
        <v>0.31422057231834399</v>
      </c>
      <c r="AL7" s="18">
        <f t="shared" si="14"/>
        <v>7.3868470044649932</v>
      </c>
      <c r="AM7" s="18">
        <f t="shared" si="15"/>
        <v>1.5662825003260765</v>
      </c>
      <c r="AN7" s="42">
        <f t="shared" si="16"/>
        <v>0.82146098010576185</v>
      </c>
      <c r="AO7" s="40">
        <f t="shared" si="17"/>
        <v>0.17652922924266151</v>
      </c>
      <c r="AP7" s="40">
        <f>1/((I7/L7)/(29/81))</f>
        <v>1.0370758621671907</v>
      </c>
      <c r="AQ7" s="120"/>
      <c r="AR7" s="120"/>
      <c r="AS7" s="47"/>
      <c r="AU7" s="47"/>
      <c r="AV7" s="40"/>
      <c r="AW7" s="126">
        <f t="shared" ref="AW7:AW43" si="28">(-LN(1-BD7)/0.0000091705)/1000</f>
        <v>175.02409054195991</v>
      </c>
      <c r="AX7" s="126">
        <f t="shared" ref="AX7:AX43" si="29">((-LN(1-(BD7+BE7))/0.0000091705)/1000)-AW7</f>
        <v>482.74316370601082</v>
      </c>
      <c r="AY7" s="126">
        <f t="shared" ref="AY7:AY43" si="30">AW7-((-LN(1-(BD7-BE7))/0.0000091705)/1000)</f>
        <v>74.930929786873861</v>
      </c>
      <c r="AZ7" s="40">
        <v>1</v>
      </c>
      <c r="BA7" s="12">
        <v>5.0000000000000001E-3</v>
      </c>
      <c r="BB7" s="12">
        <v>1</v>
      </c>
      <c r="BC7" s="12">
        <v>5.0000000000000001E-3</v>
      </c>
      <c r="BD7" s="69">
        <f t="shared" si="18"/>
        <v>0.79912218117980571</v>
      </c>
      <c r="BE7" s="69">
        <f>SQRT(BD7^2*((BG7^2/BF7^2)+(BI7^2/BH7^2)))</f>
        <v>0.19847726210792249</v>
      </c>
      <c r="BF7" s="127">
        <f t="shared" si="19"/>
        <v>7.9923285260779497</v>
      </c>
      <c r="BG7" s="127">
        <f t="shared" si="20"/>
        <v>0.31426035077315695</v>
      </c>
      <c r="BH7" s="127">
        <f t="shared" si="21"/>
        <v>6.3868470044649932</v>
      </c>
      <c r="BI7" s="127">
        <f t="shared" si="22"/>
        <v>1.566290480986112</v>
      </c>
    </row>
    <row r="8" spans="1:65" ht="14.25" x14ac:dyDescent="0.45">
      <c r="A8" t="s">
        <v>44</v>
      </c>
      <c r="B8" s="32">
        <f t="shared" ref="B8:B17" si="31">(30*I8)/MEDIAN($I$6:$I$17)</f>
        <v>27.596136476687775</v>
      </c>
      <c r="C8" s="32">
        <f t="shared" si="23"/>
        <v>73.841220029480809</v>
      </c>
      <c r="D8" s="33"/>
      <c r="E8" s="46">
        <v>1.6577322043684799</v>
      </c>
      <c r="G8">
        <v>15.4924656323569</v>
      </c>
      <c r="H8">
        <v>2.34980184061116</v>
      </c>
      <c r="I8">
        <v>357046.68393345899</v>
      </c>
      <c r="J8" s="2">
        <f t="shared" si="0"/>
        <v>7724.1702395420916</v>
      </c>
      <c r="K8">
        <v>15139.3736695025</v>
      </c>
      <c r="L8">
        <v>1000572.92085243</v>
      </c>
      <c r="M8">
        <v>39147.185116915498</v>
      </c>
      <c r="N8" s="36"/>
      <c r="O8" s="37"/>
      <c r="P8" s="37"/>
      <c r="Q8" s="36"/>
      <c r="R8" s="3">
        <f>G8-U8</f>
        <v>1.1801288861249013</v>
      </c>
      <c r="S8" s="38">
        <f t="shared" si="2"/>
        <v>0.12915138429727915</v>
      </c>
      <c r="T8" s="77">
        <v>0.24677523934341583</v>
      </c>
      <c r="U8" s="3">
        <f t="shared" si="24"/>
        <v>14.312336746231999</v>
      </c>
      <c r="V8" s="3">
        <f t="shared" si="3"/>
        <v>1.1075546704714989</v>
      </c>
      <c r="W8" s="18">
        <f t="shared" si="4"/>
        <v>2.1151596477614412</v>
      </c>
      <c r="X8" s="39">
        <f t="shared" si="5"/>
        <v>1.430414160523025E-5</v>
      </c>
      <c r="Y8" s="39">
        <f t="shared" si="6"/>
        <v>2.1331450739569409E-6</v>
      </c>
      <c r="Z8" s="38">
        <f t="shared" si="25"/>
        <v>2.8023588115410192</v>
      </c>
      <c r="AA8" s="38">
        <f t="shared" si="7"/>
        <v>5.7251141383486401E-2</v>
      </c>
      <c r="AB8" s="39">
        <f t="shared" si="8"/>
        <v>4.0085337268947491E-5</v>
      </c>
      <c r="AC8" s="39">
        <f t="shared" si="9"/>
        <v>5.9871770287530726E-6</v>
      </c>
      <c r="AD8" s="40"/>
      <c r="AE8" s="18">
        <f t="shared" si="10"/>
        <v>8.6995814595890639</v>
      </c>
      <c r="AF8" s="18">
        <f t="shared" si="26"/>
        <v>0.26273552275444556</v>
      </c>
      <c r="AG8" s="18">
        <f t="shared" si="11"/>
        <v>8.042716303786305</v>
      </c>
      <c r="AH8" s="18">
        <f t="shared" si="12"/>
        <v>1.201266337856399</v>
      </c>
      <c r="AI8" s="18"/>
      <c r="AJ8" s="18">
        <f t="shared" si="13"/>
        <v>8.6995814595890639</v>
      </c>
      <c r="AK8" s="18">
        <f t="shared" si="27"/>
        <v>0.26273552275444556</v>
      </c>
      <c r="AL8" s="18">
        <f t="shared" si="14"/>
        <v>7.4300674163695408</v>
      </c>
      <c r="AM8" s="18">
        <f t="shared" si="15"/>
        <v>1.1097606254104104</v>
      </c>
      <c r="AN8" s="42">
        <f t="shared" si="16"/>
        <v>0.8540718252807199</v>
      </c>
      <c r="AO8" s="40">
        <f t="shared" si="17"/>
        <v>0.13014647254242273</v>
      </c>
      <c r="AP8" s="40">
        <f t="shared" ref="AP8:AP17" si="32">1/((I8/L8)/(29/81))</f>
        <v>1.0033136485764143</v>
      </c>
      <c r="AQ8" s="120"/>
      <c r="AR8" s="120"/>
      <c r="AS8" s="47"/>
      <c r="AT8" s="47"/>
      <c r="AU8" s="47"/>
      <c r="AW8" s="126">
        <f t="shared" si="28"/>
        <v>196.5576345210269</v>
      </c>
      <c r="AX8" s="126">
        <f t="shared" si="29"/>
        <v>241.78754349367057</v>
      </c>
      <c r="AY8" s="126">
        <f t="shared" si="30"/>
        <v>69.479084655980287</v>
      </c>
      <c r="AZ8" s="40">
        <v>1</v>
      </c>
      <c r="BA8" s="12">
        <v>5.0000000000000001E-3</v>
      </c>
      <c r="BB8" s="12">
        <v>1</v>
      </c>
      <c r="BC8" s="12">
        <v>5.0000000000000001E-3</v>
      </c>
      <c r="BD8" s="69">
        <f t="shared" si="18"/>
        <v>0.83511908408495772</v>
      </c>
      <c r="BE8" s="69">
        <f t="shared" ref="BE8:BE43" si="33">SQRT(BD8^2*((BG8^2/BF8^2)+(BI8^2/BH8^2)))</f>
        <v>0.14692515826412622</v>
      </c>
      <c r="BF8" s="127">
        <f t="shared" si="19"/>
        <v>7.6995814595890639</v>
      </c>
      <c r="BG8" s="127">
        <f t="shared" si="20"/>
        <v>0.26278309480834527</v>
      </c>
      <c r="BH8" s="127">
        <f t="shared" si="21"/>
        <v>6.4300674163695408</v>
      </c>
      <c r="BI8" s="127">
        <f t="shared" si="22"/>
        <v>1.1097718890435571</v>
      </c>
    </row>
    <row r="9" spans="1:65" ht="14.25" x14ac:dyDescent="0.45">
      <c r="A9" t="s">
        <v>45</v>
      </c>
      <c r="B9" s="32">
        <f t="shared" si="31"/>
        <v>31.622526175333412</v>
      </c>
      <c r="C9" s="32">
        <f t="shared" si="23"/>
        <v>84.552443131570726</v>
      </c>
      <c r="D9" s="33"/>
      <c r="E9" s="46">
        <v>3.6103225099132401</v>
      </c>
      <c r="G9">
        <v>24.7600235347461</v>
      </c>
      <c r="H9">
        <v>2.8273985392099701</v>
      </c>
      <c r="I9">
        <v>409141.26214877202</v>
      </c>
      <c r="J9" s="2">
        <f t="shared" si="0"/>
        <v>9994.9737142354606</v>
      </c>
      <c r="K9">
        <v>19590.148479901502</v>
      </c>
      <c r="L9">
        <v>1145713.5317589301</v>
      </c>
      <c r="M9">
        <v>53578.280557728598</v>
      </c>
      <c r="N9" s="36"/>
      <c r="O9" s="37"/>
      <c r="P9" s="37"/>
      <c r="Q9" s="36"/>
      <c r="R9" s="3">
        <f t="shared" si="1"/>
        <v>1.3523145395108926</v>
      </c>
      <c r="S9" s="38">
        <f t="shared" si="2"/>
        <v>0.1114224285392163</v>
      </c>
      <c r="T9" s="77">
        <v>0.1925754298910502</v>
      </c>
      <c r="U9" s="3">
        <f t="shared" si="24"/>
        <v>23.407708995235208</v>
      </c>
      <c r="V9" s="3">
        <f t="shared" si="3"/>
        <v>1.3637627203107745</v>
      </c>
      <c r="W9" s="18">
        <f t="shared" si="4"/>
        <v>2.6738102313021948</v>
      </c>
      <c r="X9" s="39">
        <f t="shared" si="5"/>
        <v>2.0430682143815713E-5</v>
      </c>
      <c r="Y9" s="39">
        <f t="shared" si="6"/>
        <v>2.3841166303121809E-6</v>
      </c>
      <c r="Z9" s="38">
        <f t="shared" si="25"/>
        <v>2.8002884034275808</v>
      </c>
      <c r="AA9" s="38">
        <f t="shared" si="7"/>
        <v>6.8483926857060673E-2</v>
      </c>
      <c r="AB9" s="39">
        <f t="shared" si="8"/>
        <v>5.7211802281442084E-5</v>
      </c>
      <c r="AC9" s="39">
        <f t="shared" si="9"/>
        <v>6.6829569390701385E-6</v>
      </c>
      <c r="AD9" s="40"/>
      <c r="AE9" s="18">
        <f t="shared" si="10"/>
        <v>8.6931541298826502</v>
      </c>
      <c r="AF9" s="18">
        <f t="shared" si="26"/>
        <v>0.3026003149851591</v>
      </c>
      <c r="AG9" s="18">
        <f t="shared" si="11"/>
        <v>11.217213471994121</v>
      </c>
      <c r="AH9" s="18">
        <f t="shared" si="12"/>
        <v>1.3102917863157484</v>
      </c>
      <c r="AI9" s="18"/>
      <c r="AJ9" s="18">
        <f t="shared" si="13"/>
        <v>8.6931541298826502</v>
      </c>
      <c r="AK9" s="18">
        <f t="shared" si="27"/>
        <v>0.3026003149851591</v>
      </c>
      <c r="AL9" s="18">
        <f t="shared" si="14"/>
        <v>10.604564584577357</v>
      </c>
      <c r="AM9" s="18">
        <f t="shared" si="15"/>
        <v>1.238727773819964</v>
      </c>
      <c r="AN9" s="42">
        <f t="shared" si="16"/>
        <v>1.2198753669999072</v>
      </c>
      <c r="AO9" s="40">
        <f t="shared" si="17"/>
        <v>0.14868691603200671</v>
      </c>
      <c r="AP9" s="40">
        <f t="shared" si="32"/>
        <v>1.0025723913506153</v>
      </c>
      <c r="AQ9" s="97"/>
      <c r="AR9" s="97"/>
      <c r="AS9" s="40"/>
      <c r="AT9" s="40"/>
      <c r="AU9" s="40"/>
      <c r="AW9" s="126" t="e">
        <f t="shared" si="28"/>
        <v>#NUM!</v>
      </c>
      <c r="AX9" s="126" t="e">
        <f t="shared" si="29"/>
        <v>#NUM!</v>
      </c>
      <c r="AY9" s="126" t="e">
        <f t="shared" si="30"/>
        <v>#NUM!</v>
      </c>
      <c r="AZ9" s="40">
        <v>1</v>
      </c>
      <c r="BA9" s="12">
        <v>5.0000000000000001E-3</v>
      </c>
      <c r="BB9" s="12">
        <v>1</v>
      </c>
      <c r="BC9" s="12">
        <v>5.0000000000000001E-3</v>
      </c>
      <c r="BD9" s="69">
        <f>(AL9-BB9)/(AJ9-AZ9)</f>
        <v>1.2484560197838988</v>
      </c>
      <c r="BE9" s="69">
        <f t="shared" si="33"/>
        <v>0.16834179548957032</v>
      </c>
      <c r="BF9" s="127">
        <f t="shared" si="19"/>
        <v>7.6931541298826502</v>
      </c>
      <c r="BG9" s="127">
        <f t="shared" si="20"/>
        <v>0.30264162078127571</v>
      </c>
      <c r="BH9" s="127">
        <f t="shared" si="21"/>
        <v>9.6045645845773571</v>
      </c>
      <c r="BI9" s="127">
        <f t="shared" si="22"/>
        <v>1.2387378647772755</v>
      </c>
    </row>
    <row r="10" spans="1:65" ht="14.25" x14ac:dyDescent="0.45">
      <c r="A10" t="s">
        <v>46</v>
      </c>
      <c r="B10" s="32">
        <f t="shared" si="31"/>
        <v>30.460284024101064</v>
      </c>
      <c r="C10" s="32">
        <f t="shared" si="23"/>
        <v>81.035601037078465</v>
      </c>
      <c r="D10" s="33"/>
      <c r="E10" s="46">
        <v>-0.189495527845918</v>
      </c>
      <c r="G10">
        <v>20.962094747692799</v>
      </c>
      <c r="H10">
        <v>2.4912920161063998</v>
      </c>
      <c r="I10">
        <v>394103.84173393401</v>
      </c>
      <c r="J10" s="2">
        <f t="shared" si="0"/>
        <v>9237.012353430051</v>
      </c>
      <c r="K10">
        <v>18104.5442127229</v>
      </c>
      <c r="L10">
        <v>1098059.1597800001</v>
      </c>
      <c r="M10">
        <v>47667.9657270885</v>
      </c>
      <c r="N10" s="36"/>
      <c r="O10" s="37"/>
      <c r="P10" s="37"/>
      <c r="Q10" s="36"/>
      <c r="R10" s="3">
        <f t="shared" si="1"/>
        <v>1.3026120916156998</v>
      </c>
      <c r="S10" s="38">
        <f t="shared" si="2"/>
        <v>0.11170278168541499</v>
      </c>
      <c r="T10" s="77">
        <v>0.15930328667350294</v>
      </c>
      <c r="U10" s="3">
        <f t="shared" si="24"/>
        <v>19.659482656077099</v>
      </c>
      <c r="V10" s="3">
        <f t="shared" si="3"/>
        <v>1.192081560749169</v>
      </c>
      <c r="W10" s="18">
        <f t="shared" si="4"/>
        <v>1.9935493057087668</v>
      </c>
      <c r="X10" s="39">
        <f t="shared" si="5"/>
        <v>1.7903846510433867E-5</v>
      </c>
      <c r="Y10" s="39">
        <f t="shared" si="6"/>
        <v>1.8583226190907899E-6</v>
      </c>
      <c r="Z10" s="38">
        <f t="shared" si="25"/>
        <v>2.7862178530127548</v>
      </c>
      <c r="AA10" s="38">
        <f t="shared" si="7"/>
        <v>6.3241198221590786E-2</v>
      </c>
      <c r="AB10" s="39">
        <f t="shared" si="8"/>
        <v>4.9884016784970947E-5</v>
      </c>
      <c r="AC10" s="39">
        <f>SQRT((W10/U10)^2+(J10/I10)^2)*AB10</f>
        <v>5.1917982010744556E-6</v>
      </c>
      <c r="AD10" s="40"/>
      <c r="AE10" s="18">
        <f t="shared" si="10"/>
        <v>8.6494738206335562</v>
      </c>
      <c r="AF10" s="18">
        <f t="shared" si="26"/>
        <v>0.28497619057451445</v>
      </c>
      <c r="AG10" s="18">
        <f t="shared" si="11"/>
        <v>9.8589627009908156</v>
      </c>
      <c r="AH10" s="18">
        <f t="shared" si="12"/>
        <v>1.0260950924642762</v>
      </c>
      <c r="AI10" s="18"/>
      <c r="AJ10" s="18">
        <f t="shared" si="13"/>
        <v>8.6494738206335562</v>
      </c>
      <c r="AK10" s="18">
        <f t="shared" si="27"/>
        <v>0.28497619057451445</v>
      </c>
      <c r="AL10" s="18">
        <f t="shared" si="14"/>
        <v>9.2463138135740497</v>
      </c>
      <c r="AM10" s="18">
        <f t="shared" si="15"/>
        <v>0.96233219611830811</v>
      </c>
      <c r="AN10" s="42">
        <f t="shared" si="16"/>
        <v>1.0690030405684003</v>
      </c>
      <c r="AO10" s="40">
        <f t="shared" si="17"/>
        <v>0.11670077933131216</v>
      </c>
      <c r="AP10" s="40">
        <f t="shared" si="32"/>
        <v>0.99753478688110975</v>
      </c>
      <c r="AQ10" s="97"/>
      <c r="AR10" s="97"/>
      <c r="AS10" s="40"/>
      <c r="AT10" s="18"/>
      <c r="AU10" s="18"/>
      <c r="AW10" s="126" t="e">
        <f t="shared" si="28"/>
        <v>#NUM!</v>
      </c>
      <c r="AX10" s="126" t="e">
        <f t="shared" si="29"/>
        <v>#NUM!</v>
      </c>
      <c r="AY10" s="126" t="e">
        <f t="shared" si="30"/>
        <v>#NUM!</v>
      </c>
      <c r="AZ10" s="40">
        <v>1</v>
      </c>
      <c r="BA10" s="12">
        <v>5.0000000000000001E-3</v>
      </c>
      <c r="BB10" s="12">
        <v>1</v>
      </c>
      <c r="BC10" s="12">
        <v>5.0000000000000001E-3</v>
      </c>
      <c r="BD10" s="69">
        <f t="shared" si="18"/>
        <v>1.0780236663246807</v>
      </c>
      <c r="BE10" s="69">
        <f t="shared" si="33"/>
        <v>0.13206214194611571</v>
      </c>
      <c r="BF10" s="127">
        <f t="shared" si="19"/>
        <v>7.6494738206335562</v>
      </c>
      <c r="BG10" s="127">
        <f t="shared" si="20"/>
        <v>0.28502005051287527</v>
      </c>
      <c r="BH10" s="127">
        <f t="shared" si="21"/>
        <v>8.2463138135740497</v>
      </c>
      <c r="BI10" s="127">
        <f t="shared" si="22"/>
        <v>0.96234518530820623</v>
      </c>
    </row>
    <row r="11" spans="1:65" ht="14.25" x14ac:dyDescent="0.45">
      <c r="A11" t="s">
        <v>47</v>
      </c>
      <c r="B11" s="32">
        <f t="shared" si="31"/>
        <v>30.433254812908878</v>
      </c>
      <c r="C11" s="32">
        <f t="shared" si="23"/>
        <v>79.551961556232143</v>
      </c>
      <c r="D11" s="33"/>
      <c r="E11" s="46">
        <v>2.4479148559271802</v>
      </c>
      <c r="G11">
        <v>18.9501724913899</v>
      </c>
      <c r="H11">
        <v>2.358318433415</v>
      </c>
      <c r="I11">
        <v>393754.13009101403</v>
      </c>
      <c r="J11" s="2">
        <f t="shared" si="0"/>
        <v>8688.3859855356641</v>
      </c>
      <c r="K11">
        <v>17029.236531649902</v>
      </c>
      <c r="L11">
        <v>1077955.35477448</v>
      </c>
      <c r="M11">
        <v>43434.8051543525</v>
      </c>
      <c r="N11" s="36"/>
      <c r="O11" s="37"/>
      <c r="P11" s="37"/>
      <c r="Q11" s="36"/>
      <c r="R11" s="3">
        <f t="shared" si="1"/>
        <v>1.3014562068807471</v>
      </c>
      <c r="S11" s="38">
        <f t="shared" si="2"/>
        <v>0.11686319715914585</v>
      </c>
      <c r="T11" s="77">
        <v>0.10978413903080937</v>
      </c>
      <c r="U11" s="3">
        <f t="shared" si="24"/>
        <v>17.648716284509153</v>
      </c>
      <c r="V11" s="3">
        <f t="shared" si="3"/>
        <v>1.1205889313354847</v>
      </c>
      <c r="W11" s="18">
        <f t="shared" si="4"/>
        <v>1.4943030818386629</v>
      </c>
      <c r="X11" s="39">
        <f t="shared" si="5"/>
        <v>1.6372400031540691E-5</v>
      </c>
      <c r="Y11" s="39">
        <f t="shared" si="6"/>
        <v>1.426515188131435E-6</v>
      </c>
      <c r="Z11" s="38">
        <f t="shared" si="25"/>
        <v>2.7376356776888073</v>
      </c>
      <c r="AA11" s="38">
        <f t="shared" si="7"/>
        <v>5.7613254911061E-2</v>
      </c>
      <c r="AB11" s="39">
        <f t="shared" si="8"/>
        <v>4.482166645573915E-5</v>
      </c>
      <c r="AC11" s="39">
        <f t="shared" si="9"/>
        <v>3.9217713274051402E-6</v>
      </c>
      <c r="AD11" s="40"/>
      <c r="AE11" s="18">
        <f t="shared" si="10"/>
        <v>8.498656377137694</v>
      </c>
      <c r="AF11" s="18">
        <f t="shared" si="26"/>
        <v>0.26265393519172336</v>
      </c>
      <c r="AG11" s="18">
        <f t="shared" si="11"/>
        <v>8.9206244757412918</v>
      </c>
      <c r="AH11" s="18">
        <f t="shared" si="12"/>
        <v>0.78052986552960102</v>
      </c>
      <c r="AI11" s="18"/>
      <c r="AJ11" s="18">
        <f t="shared" si="13"/>
        <v>8.498656377137694</v>
      </c>
      <c r="AK11" s="18">
        <f t="shared" si="27"/>
        <v>0.26265393519172336</v>
      </c>
      <c r="AL11" s="18">
        <f t="shared" si="14"/>
        <v>8.3079755883245259</v>
      </c>
      <c r="AM11" s="18">
        <f t="shared" si="15"/>
        <v>0.72692478944858696</v>
      </c>
      <c r="AN11" s="42">
        <f t="shared" si="16"/>
        <v>0.97756341939813918</v>
      </c>
      <c r="AO11" s="40">
        <f t="shared" si="17"/>
        <v>9.0712957948002118E-2</v>
      </c>
      <c r="AP11" s="40">
        <f t="shared" si="32"/>
        <v>0.98014116855525202</v>
      </c>
      <c r="AQ11" s="97"/>
      <c r="AR11" s="97"/>
      <c r="AS11" s="40"/>
      <c r="AT11" s="40"/>
      <c r="AU11" s="40"/>
      <c r="AW11" s="126">
        <f t="shared" si="28"/>
        <v>400.40110861887808</v>
      </c>
      <c r="AX11" s="126" t="e">
        <f t="shared" si="29"/>
        <v>#NUM!</v>
      </c>
      <c r="AY11" s="126">
        <f t="shared" si="30"/>
        <v>176.41117147846794</v>
      </c>
      <c r="AZ11" s="40">
        <v>1</v>
      </c>
      <c r="BA11" s="12">
        <v>5.0000000000000001E-3</v>
      </c>
      <c r="BB11" s="12">
        <v>1</v>
      </c>
      <c r="BC11" s="12">
        <v>5.0000000000000001E-3</v>
      </c>
      <c r="BD11" s="69">
        <f t="shared" si="18"/>
        <v>0.9745713392875921</v>
      </c>
      <c r="BE11" s="69">
        <f t="shared" si="33"/>
        <v>0.10277954639499981</v>
      </c>
      <c r="BF11" s="127">
        <f t="shared" si="19"/>
        <v>7.498656377137694</v>
      </c>
      <c r="BG11" s="127">
        <f t="shared" si="20"/>
        <v>0.26270152202013985</v>
      </c>
      <c r="BH11" s="127">
        <f t="shared" si="21"/>
        <v>7.3079755883245259</v>
      </c>
      <c r="BI11" s="127">
        <f t="shared" si="22"/>
        <v>0.72694198497189066</v>
      </c>
    </row>
    <row r="12" spans="1:65" ht="14.25" x14ac:dyDescent="0.45">
      <c r="A12" t="s">
        <v>48</v>
      </c>
      <c r="B12" s="32">
        <f t="shared" si="31"/>
        <v>29.93919374449677</v>
      </c>
      <c r="C12" s="32">
        <f t="shared" si="23"/>
        <v>78.899356665455471</v>
      </c>
      <c r="D12" s="33"/>
      <c r="E12" s="46">
        <v>6.5149016350570603</v>
      </c>
      <c r="G12">
        <v>19.140403858574899</v>
      </c>
      <c r="H12">
        <v>2.4275688825381998</v>
      </c>
      <c r="I12">
        <v>387361.82708562101</v>
      </c>
      <c r="J12" s="2">
        <f t="shared" si="0"/>
        <v>7847.8406407838274</v>
      </c>
      <c r="K12">
        <v>15381.767655936301</v>
      </c>
      <c r="L12">
        <v>1069112.3429517299</v>
      </c>
      <c r="M12">
        <v>37367.255667994898</v>
      </c>
      <c r="N12" s="36"/>
      <c r="O12" s="37"/>
      <c r="P12" s="37"/>
      <c r="Q12" s="36"/>
      <c r="R12" s="3">
        <f t="shared" si="1"/>
        <v>1.2803280413915132</v>
      </c>
      <c r="S12" s="38">
        <f t="shared" si="2"/>
        <v>0.11716574240427377</v>
      </c>
      <c r="T12" s="77">
        <v>0.12724212202598773</v>
      </c>
      <c r="U12" s="3">
        <f t="shared" si="24"/>
        <v>17.860075817183386</v>
      </c>
      <c r="V12" s="3">
        <f t="shared" si="3"/>
        <v>1.1557068613385899</v>
      </c>
      <c r="W12" s="18">
        <f t="shared" si="4"/>
        <v>1.637076799797073</v>
      </c>
      <c r="X12" s="39">
        <f t="shared" si="5"/>
        <v>1.6705518306778881E-5</v>
      </c>
      <c r="Y12" s="39">
        <f t="shared" si="6"/>
        <v>1.5599574523409434E-6</v>
      </c>
      <c r="Z12" s="38">
        <f t="shared" si="25"/>
        <v>2.7599837366406712</v>
      </c>
      <c r="AA12" s="38">
        <f t="shared" si="7"/>
        <v>5.0350211807077667E-2</v>
      </c>
      <c r="AB12" s="39">
        <f t="shared" si="8"/>
        <v>4.6106958838862721E-5</v>
      </c>
      <c r="AC12" s="39">
        <f t="shared" si="9"/>
        <v>4.3282230933429435E-6</v>
      </c>
      <c r="AD12" s="40"/>
      <c r="AE12" s="18">
        <f t="shared" si="10"/>
        <v>8.5680332030155082</v>
      </c>
      <c r="AF12" s="18">
        <f t="shared" si="26"/>
        <v>0.2383816537006706</v>
      </c>
      <c r="AG12" s="18">
        <f t="shared" si="11"/>
        <v>9.1588614398531583</v>
      </c>
      <c r="AH12" s="18">
        <f t="shared" si="12"/>
        <v>0.85977467590613366</v>
      </c>
      <c r="AI12" s="18"/>
      <c r="AJ12" s="18">
        <f t="shared" si="13"/>
        <v>8.5680332030155082</v>
      </c>
      <c r="AK12" s="18">
        <f t="shared" si="27"/>
        <v>0.2383816537006706</v>
      </c>
      <c r="AL12" s="18">
        <f t="shared" si="14"/>
        <v>8.5462125524363941</v>
      </c>
      <c r="AM12" s="18">
        <f t="shared" si="15"/>
        <v>0.80226316073777593</v>
      </c>
      <c r="AN12" s="42">
        <f t="shared" si="16"/>
        <v>0.99745324859718865</v>
      </c>
      <c r="AO12" s="40">
        <f t="shared" si="17"/>
        <v>9.7660380531720603E-2</v>
      </c>
      <c r="AP12" s="40">
        <f t="shared" si="32"/>
        <v>0.98814232546394409</v>
      </c>
      <c r="AQ12" s="97"/>
      <c r="AR12" s="97"/>
      <c r="AS12" s="40"/>
      <c r="AT12" s="40"/>
      <c r="AU12" s="40"/>
      <c r="AW12" s="126">
        <f t="shared" si="28"/>
        <v>637.78765632490308</v>
      </c>
      <c r="AX12" s="126" t="e">
        <f t="shared" si="29"/>
        <v>#NUM!</v>
      </c>
      <c r="AY12" s="126">
        <f t="shared" si="30"/>
        <v>400.46114482983813</v>
      </c>
      <c r="AZ12" s="40">
        <v>1</v>
      </c>
      <c r="BA12" s="12">
        <v>5.0000000000000001E-3</v>
      </c>
      <c r="BB12" s="12">
        <v>1</v>
      </c>
      <c r="BC12" s="12">
        <v>5.0000000000000001E-3</v>
      </c>
      <c r="BD12" s="69">
        <f t="shared" si="18"/>
        <v>0.99711673429624759</v>
      </c>
      <c r="BE12" s="69">
        <f t="shared" si="33"/>
        <v>0.11056563316619182</v>
      </c>
      <c r="BF12" s="127">
        <f t="shared" si="19"/>
        <v>7.5680332030155082</v>
      </c>
      <c r="BG12" s="127">
        <f t="shared" si="20"/>
        <v>0.23843408485589143</v>
      </c>
      <c r="BH12" s="127">
        <f t="shared" si="21"/>
        <v>7.5462125524363941</v>
      </c>
      <c r="BI12" s="127">
        <f t="shared" si="22"/>
        <v>0.80227874150881406</v>
      </c>
    </row>
    <row r="13" spans="1:65" ht="15" customHeight="1" x14ac:dyDescent="0.45">
      <c r="A13" t="s">
        <v>49</v>
      </c>
      <c r="B13" s="32">
        <f t="shared" si="31"/>
        <v>30.06080625550323</v>
      </c>
      <c r="C13" s="32">
        <f t="shared" si="23"/>
        <v>80.592849186932725</v>
      </c>
      <c r="D13" s="33"/>
      <c r="E13" s="46">
        <v>6.7715219979904298</v>
      </c>
      <c r="G13">
        <v>18.3897627961701</v>
      </c>
      <c r="H13">
        <v>2.5428327643818198</v>
      </c>
      <c r="I13">
        <v>388935.28443594102</v>
      </c>
      <c r="J13" s="2">
        <f t="shared" si="0"/>
        <v>8503.754233505153</v>
      </c>
      <c r="K13">
        <v>16667.3582976701</v>
      </c>
      <c r="L13">
        <v>1092059.7259714</v>
      </c>
      <c r="M13">
        <v>46532.9693337024</v>
      </c>
      <c r="N13" s="36"/>
      <c r="O13" s="37"/>
      <c r="P13" s="37"/>
      <c r="Q13" s="36"/>
      <c r="R13" s="3">
        <f t="shared" si="1"/>
        <v>1.2855287127707911</v>
      </c>
      <c r="S13" s="38">
        <f t="shared" si="2"/>
        <v>0.1282573843943855</v>
      </c>
      <c r="T13" s="77">
        <v>8.5266659054647254E-2</v>
      </c>
      <c r="U13" s="3">
        <f t="shared" si="24"/>
        <v>17.104234083399309</v>
      </c>
      <c r="V13" s="3">
        <f t="shared" si="3"/>
        <v>1.2066719890543274</v>
      </c>
      <c r="W13" s="18">
        <f t="shared" si="4"/>
        <v>1.4176496855574587</v>
      </c>
      <c r="X13" s="39">
        <f t="shared" si="5"/>
        <v>1.5662361386127383E-5</v>
      </c>
      <c r="Y13" s="39">
        <f t="shared" si="6"/>
        <v>1.3420561282464473E-6</v>
      </c>
      <c r="Z13" s="38">
        <f t="shared" si="25"/>
        <v>2.8078186003493495</v>
      </c>
      <c r="AA13" s="38">
        <f t="shared" si="7"/>
        <v>6.2384059921110215E-2</v>
      </c>
      <c r="AB13" s="39">
        <f t="shared" si="8"/>
        <v>4.3977069625361889E-5</v>
      </c>
      <c r="AC13" s="39">
        <f t="shared" si="9"/>
        <v>3.7696401978740883E-6</v>
      </c>
      <c r="AD13" s="40"/>
      <c r="AE13" s="18">
        <f t="shared" si="10"/>
        <v>8.7165307086625994</v>
      </c>
      <c r="AF13" s="18">
        <f t="shared" si="26"/>
        <v>0.27512907644401663</v>
      </c>
      <c r="AG13" s="18">
        <f t="shared" si="11"/>
        <v>8.7640731825027931</v>
      </c>
      <c r="AH13" s="18">
        <f t="shared" si="12"/>
        <v>0.75124156400861952</v>
      </c>
      <c r="AI13" s="18"/>
      <c r="AJ13" s="18">
        <f t="shared" si="13"/>
        <v>8.7165307086625994</v>
      </c>
      <c r="AK13" s="18">
        <f t="shared" si="27"/>
        <v>0.27512907644401663</v>
      </c>
      <c r="AL13" s="18">
        <f t="shared" si="14"/>
        <v>8.1514242950860289</v>
      </c>
      <c r="AM13" s="18">
        <f t="shared" si="15"/>
        <v>0.69872633521181071</v>
      </c>
      <c r="AN13" s="42">
        <f t="shared" si="16"/>
        <v>0.93516842509199671</v>
      </c>
      <c r="AO13" s="40">
        <f t="shared" si="17"/>
        <v>8.5423009964614979E-2</v>
      </c>
      <c r="AP13" s="40">
        <f t="shared" si="32"/>
        <v>1.0052683877793966</v>
      </c>
      <c r="AQ13" s="97"/>
      <c r="AR13" s="97"/>
      <c r="AS13" s="40"/>
      <c r="AT13" s="40"/>
      <c r="AU13" s="40"/>
      <c r="AW13" s="126">
        <f t="shared" si="28"/>
        <v>285.05600522519336</v>
      </c>
      <c r="AX13" s="126" t="e">
        <f t="shared" si="29"/>
        <v>#NUM!</v>
      </c>
      <c r="AY13" s="126">
        <f t="shared" si="30"/>
        <v>91.593104300089948</v>
      </c>
      <c r="AZ13" s="40">
        <v>1</v>
      </c>
      <c r="BA13" s="12">
        <v>5.0000000000000001E-3</v>
      </c>
      <c r="BB13" s="12">
        <v>1</v>
      </c>
      <c r="BC13" s="12">
        <v>5.0000000000000001E-3</v>
      </c>
      <c r="BD13" s="69">
        <f t="shared" si="18"/>
        <v>0.92676677707740085</v>
      </c>
      <c r="BE13" s="69">
        <f t="shared" si="33"/>
        <v>9.6394088724577512E-2</v>
      </c>
      <c r="BF13" s="127">
        <f t="shared" si="19"/>
        <v>7.7165307086625994</v>
      </c>
      <c r="BG13" s="127">
        <f t="shared" si="20"/>
        <v>0.27517450591386106</v>
      </c>
      <c r="BH13" s="127">
        <f t="shared" si="21"/>
        <v>7.1514242950860289</v>
      </c>
      <c r="BI13" s="127">
        <f t="shared" si="22"/>
        <v>0.69874422467633157</v>
      </c>
    </row>
    <row r="14" spans="1:65" ht="15" customHeight="1" x14ac:dyDescent="0.45">
      <c r="A14" t="s">
        <v>50</v>
      </c>
      <c r="B14" s="32">
        <f t="shared" si="31"/>
        <v>30.498352222232725</v>
      </c>
      <c r="C14" s="32">
        <f t="shared" si="23"/>
        <v>80.448038443767857</v>
      </c>
      <c r="D14" s="33"/>
      <c r="E14" s="46">
        <v>-0.61848004690027503</v>
      </c>
      <c r="G14">
        <v>19.4761952192205</v>
      </c>
      <c r="H14">
        <v>2.3655200724238501</v>
      </c>
      <c r="I14">
        <v>394596.37893810798</v>
      </c>
      <c r="J14" s="2">
        <f t="shared" si="0"/>
        <v>8011.8806057518377</v>
      </c>
      <c r="K14">
        <v>15703.285987273601</v>
      </c>
      <c r="L14">
        <v>1090097.4925711199</v>
      </c>
      <c r="M14">
        <v>36776.658897161898</v>
      </c>
      <c r="N14" s="36"/>
      <c r="O14" s="37"/>
      <c r="P14" s="37"/>
      <c r="Q14" s="36"/>
      <c r="R14" s="3">
        <f t="shared" si="1"/>
        <v>1.3042400506706144</v>
      </c>
      <c r="S14" s="38">
        <f t="shared" si="2"/>
        <v>0.11429809113870359</v>
      </c>
      <c r="T14" s="77">
        <v>0.10460370543357669</v>
      </c>
      <c r="U14" s="3">
        <f t="shared" si="24"/>
        <v>18.171955168549886</v>
      </c>
      <c r="V14" s="3">
        <f t="shared" si="3"/>
        <v>1.1260770408137621</v>
      </c>
      <c r="W14" s="18">
        <f t="shared" si="4"/>
        <v>1.4861382542783936</v>
      </c>
      <c r="X14" s="39">
        <f t="shared" si="5"/>
        <v>1.6670027490558893E-5</v>
      </c>
      <c r="Y14" s="39">
        <f t="shared" si="6"/>
        <v>1.3931765268690395E-6</v>
      </c>
      <c r="Z14" s="38">
        <f t="shared" si="25"/>
        <v>2.7625633451190401</v>
      </c>
      <c r="AA14" s="38">
        <f t="shared" si="7"/>
        <v>4.8690249960149687E-2</v>
      </c>
      <c r="AB14" s="39">
        <f t="shared" si="8"/>
        <v>4.6052006907544725E-5</v>
      </c>
      <c r="AC14" s="39">
        <f t="shared" si="9"/>
        <v>3.880559252529973E-6</v>
      </c>
      <c r="AD14" s="40"/>
      <c r="AE14" s="18">
        <f t="shared" si="10"/>
        <v>8.5760412832081645</v>
      </c>
      <c r="AF14" s="18">
        <f t="shared" si="26"/>
        <v>0.23551402841098906</v>
      </c>
      <c r="AG14" s="18">
        <f t="shared" si="11"/>
        <v>9.1486757564544394</v>
      </c>
      <c r="AH14" s="18">
        <f t="shared" si="12"/>
        <v>0.77091055828208899</v>
      </c>
      <c r="AI14" s="18"/>
      <c r="AJ14" s="18">
        <f t="shared" si="13"/>
        <v>8.5760412832081645</v>
      </c>
      <c r="AK14" s="18">
        <f t="shared" si="27"/>
        <v>0.23551402841098906</v>
      </c>
      <c r="AL14" s="18">
        <f t="shared" si="14"/>
        <v>8.5360268690376753</v>
      </c>
      <c r="AM14" s="18">
        <f t="shared" si="15"/>
        <v>0.71928587418546985</v>
      </c>
      <c r="AN14" s="42">
        <f t="shared" si="16"/>
        <v>0.99533416259914265</v>
      </c>
      <c r="AO14" s="40">
        <f t="shared" si="17"/>
        <v>8.8213204381039703E-2</v>
      </c>
      <c r="AP14" s="40">
        <f t="shared" si="32"/>
        <v>0.98906588899323644</v>
      </c>
      <c r="AQ14" s="97"/>
      <c r="AR14" s="97"/>
      <c r="AS14" s="40"/>
      <c r="AT14" s="40"/>
      <c r="AU14" s="40"/>
      <c r="AW14" s="126">
        <f t="shared" si="28"/>
        <v>571.77976561757896</v>
      </c>
      <c r="AX14" s="126" t="e">
        <f t="shared" si="29"/>
        <v>#NUM!</v>
      </c>
      <c r="AY14" s="126">
        <f t="shared" si="30"/>
        <v>326.15621363209254</v>
      </c>
      <c r="AZ14" s="40">
        <v>1</v>
      </c>
      <c r="BA14" s="12">
        <v>5.0000000000000001E-3</v>
      </c>
      <c r="BB14" s="12">
        <v>1</v>
      </c>
      <c r="BC14" s="12">
        <v>5.0000000000000001E-3</v>
      </c>
      <c r="BD14" s="69">
        <f t="shared" si="18"/>
        <v>0.99471829512608667</v>
      </c>
      <c r="BE14" s="69">
        <f t="shared" si="33"/>
        <v>9.9855319717536653E-2</v>
      </c>
      <c r="BF14" s="127">
        <f t="shared" si="19"/>
        <v>7.5760412832081645</v>
      </c>
      <c r="BG14" s="127">
        <f t="shared" si="20"/>
        <v>0.23556709782644128</v>
      </c>
      <c r="BH14" s="127">
        <f t="shared" si="21"/>
        <v>7.5360268690376753</v>
      </c>
      <c r="BI14" s="127">
        <f t="shared" si="22"/>
        <v>0.71930325232321568</v>
      </c>
    </row>
    <row r="15" spans="1:65" ht="15" customHeight="1" x14ac:dyDescent="0.45">
      <c r="A15" t="s">
        <v>51</v>
      </c>
      <c r="B15" s="32">
        <f t="shared" si="31"/>
        <v>29.656972759548278</v>
      </c>
      <c r="C15" s="32">
        <f t="shared" si="23"/>
        <v>80.7652507272402</v>
      </c>
      <c r="D15" s="33"/>
      <c r="E15" s="46">
        <v>1.31760978904526</v>
      </c>
      <c r="G15">
        <v>19.407324228910198</v>
      </c>
      <c r="H15">
        <v>3.0681703726851799</v>
      </c>
      <c r="I15">
        <v>383710.37149518298</v>
      </c>
      <c r="J15" s="2">
        <f t="shared" si="0"/>
        <v>9273.4264455081629</v>
      </c>
      <c r="K15">
        <v>18175.915833195999</v>
      </c>
      <c r="L15">
        <v>1094395.8237860899</v>
      </c>
      <c r="M15">
        <v>59264.187447533601</v>
      </c>
      <c r="N15" s="36"/>
      <c r="O15" s="37"/>
      <c r="P15" s="37"/>
      <c r="Q15" s="36"/>
      <c r="R15" s="3">
        <f t="shared" si="1"/>
        <v>1.2682590643849068</v>
      </c>
      <c r="S15" s="38">
        <f t="shared" si="2"/>
        <v>0.14467074298554078</v>
      </c>
      <c r="T15" s="77">
        <v>7.4205467677209758E-2</v>
      </c>
      <c r="U15" s="3">
        <f t="shared" si="24"/>
        <v>18.139065164525292</v>
      </c>
      <c r="V15" s="3">
        <f t="shared" si="3"/>
        <v>1.4630953838839849</v>
      </c>
      <c r="W15" s="18">
        <f t="shared" si="4"/>
        <v>1.6162503287510157</v>
      </c>
      <c r="X15" s="39">
        <f t="shared" si="5"/>
        <v>1.6574501446627179E-5</v>
      </c>
      <c r="Y15" s="39">
        <f t="shared" si="6"/>
        <v>1.5462105069825909E-6</v>
      </c>
      <c r="Z15" s="38">
        <f t="shared" si="25"/>
        <v>2.8521403253230249</v>
      </c>
      <c r="AA15" s="38">
        <f t="shared" si="7"/>
        <v>8.0467062880073284E-2</v>
      </c>
      <c r="AB15" s="39">
        <f t="shared" si="8"/>
        <v>4.7272803948050192E-5</v>
      </c>
      <c r="AC15" s="39">
        <f t="shared" si="9"/>
        <v>4.3643519313655569E-6</v>
      </c>
      <c r="AD15" s="40"/>
      <c r="AE15" s="18">
        <f t="shared" si="10"/>
        <v>8.8541221031871142</v>
      </c>
      <c r="AF15" s="18">
        <f t="shared" si="26"/>
        <v>0.33046798718402637</v>
      </c>
      <c r="AG15" s="18">
        <f t="shared" si="11"/>
        <v>9.3749581063272114</v>
      </c>
      <c r="AH15" s="18">
        <f t="shared" si="12"/>
        <v>0.86552125325132001</v>
      </c>
      <c r="AI15" s="18"/>
      <c r="AJ15" s="18">
        <f t="shared" si="13"/>
        <v>8.8541221031871142</v>
      </c>
      <c r="AK15" s="18">
        <f t="shared" si="27"/>
        <v>0.33046798718402637</v>
      </c>
      <c r="AL15" s="18">
        <f t="shared" si="14"/>
        <v>8.7623092189104472</v>
      </c>
      <c r="AM15" s="18">
        <f t="shared" si="15"/>
        <v>0.80895986632820305</v>
      </c>
      <c r="AN15" s="42">
        <f t="shared" si="16"/>
        <v>0.98963049264436753</v>
      </c>
      <c r="AO15" s="40">
        <f t="shared" si="17"/>
        <v>9.8549164482465063E-2</v>
      </c>
      <c r="AP15" s="40">
        <f t="shared" si="32"/>
        <v>1.0211366596835521</v>
      </c>
      <c r="AQ15" s="97"/>
      <c r="AR15" s="97"/>
      <c r="AS15" s="40"/>
      <c r="AT15" s="40"/>
      <c r="AU15" s="40"/>
      <c r="AV15" s="35"/>
      <c r="AW15" s="126">
        <f t="shared" si="28"/>
        <v>485.14706311167646</v>
      </c>
      <c r="AX15" s="126" t="e">
        <f t="shared" si="29"/>
        <v>#NUM!</v>
      </c>
      <c r="AY15" s="126">
        <f t="shared" si="30"/>
        <v>256.43005802537908</v>
      </c>
      <c r="AZ15" s="40">
        <v>1</v>
      </c>
      <c r="BA15" s="12">
        <v>5.0000000000000001E-3</v>
      </c>
      <c r="BB15" s="12">
        <v>1</v>
      </c>
      <c r="BC15" s="12">
        <v>5.0000000000000001E-3</v>
      </c>
      <c r="BD15" s="69">
        <f t="shared" si="18"/>
        <v>0.98831022957493742</v>
      </c>
      <c r="BE15" s="69">
        <f t="shared" si="33"/>
        <v>0.11107940672963282</v>
      </c>
      <c r="BF15" s="127">
        <f t="shared" si="19"/>
        <v>7.8541221031871142</v>
      </c>
      <c r="BG15" s="127">
        <f t="shared" si="20"/>
        <v>0.33050581016596636</v>
      </c>
      <c r="BH15" s="127">
        <f t="shared" si="21"/>
        <v>7.7623092189104472</v>
      </c>
      <c r="BI15" s="127">
        <f t="shared" si="22"/>
        <v>0.80897531812147661</v>
      </c>
    </row>
    <row r="16" spans="1:65" ht="15.7" customHeight="1" x14ac:dyDescent="0.45">
      <c r="A16" t="s">
        <v>52</v>
      </c>
      <c r="B16" s="32">
        <f t="shared" si="31"/>
        <v>29.294378289683962</v>
      </c>
      <c r="C16" s="32">
        <f t="shared" si="23"/>
        <v>79.271316204069919</v>
      </c>
      <c r="D16" s="33"/>
      <c r="E16" s="46">
        <v>5.6878121827639099</v>
      </c>
      <c r="G16">
        <v>18.253516154950599</v>
      </c>
      <c r="H16">
        <v>2.9059857571735401</v>
      </c>
      <c r="I16">
        <v>379019.02083502698</v>
      </c>
      <c r="J16" s="2">
        <f t="shared" si="0"/>
        <v>7297.6391633004596</v>
      </c>
      <c r="K16">
        <v>14303.3727600689</v>
      </c>
      <c r="L16">
        <v>1074152.5175566699</v>
      </c>
      <c r="M16">
        <v>40974.243121735301</v>
      </c>
      <c r="N16" s="36"/>
      <c r="O16" s="37"/>
      <c r="P16" s="37"/>
      <c r="Q16" s="36"/>
      <c r="R16" s="3">
        <f t="shared" si="1"/>
        <v>1.2527529732261868</v>
      </c>
      <c r="S16" s="38">
        <f t="shared" si="2"/>
        <v>0.14390348627908245</v>
      </c>
      <c r="T16" s="77">
        <v>8.244774039257545E-2</v>
      </c>
      <c r="U16" s="3">
        <f t="shared" si="24"/>
        <v>17.000763181724412</v>
      </c>
      <c r="V16" s="3">
        <f t="shared" si="3"/>
        <v>1.3808906634919715</v>
      </c>
      <c r="W16" s="18">
        <f t="shared" si="4"/>
        <v>1.5550833816443765</v>
      </c>
      <c r="X16" s="39">
        <f t="shared" si="5"/>
        <v>1.5827140842527039E-5</v>
      </c>
      <c r="Y16" s="39">
        <f t="shared" si="6"/>
        <v>1.480136961145456E-6</v>
      </c>
      <c r="Z16" s="38">
        <f t="shared" si="25"/>
        <v>2.8340332767209824</v>
      </c>
      <c r="AA16" s="38">
        <f t="shared" si="7"/>
        <v>5.6206764693516417E-2</v>
      </c>
      <c r="AB16" s="39">
        <f t="shared" si="8"/>
        <v>4.4854643823071395E-5</v>
      </c>
      <c r="AC16" s="39">
        <f t="shared" si="9"/>
        <v>4.1928252993706196E-6</v>
      </c>
      <c r="AD16" s="40"/>
      <c r="AE16" s="18">
        <f t="shared" si="10"/>
        <v>8.7979109771680353</v>
      </c>
      <c r="AF16" s="18">
        <f t="shared" si="26"/>
        <v>0.24808101044713679</v>
      </c>
      <c r="AG16" s="18">
        <f t="shared" si="11"/>
        <v>8.9267370365724261</v>
      </c>
      <c r="AH16" s="18">
        <f t="shared" si="12"/>
        <v>0.83443420118114997</v>
      </c>
      <c r="AI16" s="18"/>
      <c r="AJ16" s="18">
        <f t="shared" si="13"/>
        <v>8.7979109771680353</v>
      </c>
      <c r="AK16" s="18">
        <f t="shared" si="27"/>
        <v>0.24808101044713679</v>
      </c>
      <c r="AL16" s="18">
        <f t="shared" si="14"/>
        <v>8.3140881491556602</v>
      </c>
      <c r="AM16" s="18">
        <f t="shared" si="15"/>
        <v>0.77716633467161744</v>
      </c>
      <c r="AN16" s="42">
        <f t="shared" si="16"/>
        <v>0.94500707846806231</v>
      </c>
      <c r="AO16" s="40">
        <f t="shared" si="17"/>
        <v>9.2266975243285976E-2</v>
      </c>
      <c r="AP16" s="40">
        <f t="shared" si="32"/>
        <v>1.0146538891964012</v>
      </c>
      <c r="AQ16" s="121" t="s">
        <v>53</v>
      </c>
      <c r="AR16" s="121" t="s">
        <v>28</v>
      </c>
      <c r="AS16" s="40"/>
      <c r="AT16" s="40"/>
      <c r="AU16" s="40"/>
      <c r="AV16" s="35"/>
      <c r="AW16" s="126">
        <f t="shared" si="28"/>
        <v>303.13422076126125</v>
      </c>
      <c r="AX16" s="126" t="e">
        <f t="shared" si="29"/>
        <v>#NUM!</v>
      </c>
      <c r="AY16" s="126">
        <f t="shared" si="30"/>
        <v>107.36908347019929</v>
      </c>
      <c r="AZ16" s="40">
        <v>1</v>
      </c>
      <c r="BA16" s="12">
        <v>5.0000000000000001E-3</v>
      </c>
      <c r="BB16" s="12">
        <v>1</v>
      </c>
      <c r="BC16" s="12">
        <v>5.0000000000000001E-3</v>
      </c>
      <c r="BD16" s="69">
        <f t="shared" si="18"/>
        <v>0.93795481515126444</v>
      </c>
      <c r="BE16" s="69">
        <f t="shared" si="33"/>
        <v>0.10403838382977369</v>
      </c>
      <c r="BF16" s="127">
        <f t="shared" si="19"/>
        <v>7.7979109771680353</v>
      </c>
      <c r="BG16" s="127">
        <f t="shared" si="20"/>
        <v>0.24813139209796167</v>
      </c>
      <c r="BH16" s="127">
        <f t="shared" si="21"/>
        <v>7.3140881491556602</v>
      </c>
      <c r="BI16" s="127">
        <f t="shared" si="22"/>
        <v>0.77718241857810733</v>
      </c>
    </row>
    <row r="17" spans="1:62" ht="14.25" x14ac:dyDescent="0.45">
      <c r="A17" t="s">
        <v>54</v>
      </c>
      <c r="B17" s="32">
        <f t="shared" si="31"/>
        <v>31.319723404582735</v>
      </c>
      <c r="C17" s="32">
        <f t="shared" si="23"/>
        <v>86.458488035215296</v>
      </c>
      <c r="D17" s="33"/>
      <c r="E17" s="46">
        <v>-1.1728767358929899</v>
      </c>
      <c r="G17">
        <v>20.6332125664497</v>
      </c>
      <c r="H17">
        <v>3.7940724259101599</v>
      </c>
      <c r="I17">
        <v>405223.51354386401</v>
      </c>
      <c r="J17" s="2">
        <f t="shared" si="0"/>
        <v>9006.1511256688791</v>
      </c>
      <c r="K17">
        <v>17652.056206311001</v>
      </c>
      <c r="L17">
        <v>1171541.0697621501</v>
      </c>
      <c r="M17">
        <v>55581.544473643</v>
      </c>
      <c r="N17" s="36"/>
      <c r="O17" s="37"/>
      <c r="P17" s="37"/>
      <c r="Q17" s="36"/>
      <c r="R17" s="3">
        <f t="shared" si="1"/>
        <v>1.3393653972690629</v>
      </c>
      <c r="S17" s="38">
        <f t="shared" si="2"/>
        <v>0.17770382084589281</v>
      </c>
      <c r="T17" s="77">
        <v>9.3357516678649805E-2</v>
      </c>
      <c r="U17" s="3">
        <f t="shared" si="24"/>
        <v>19.293847169180637</v>
      </c>
      <c r="V17" s="3">
        <f t="shared" si="3"/>
        <v>1.8100956609463752</v>
      </c>
      <c r="W17" s="18">
        <f t="shared" si="4"/>
        <v>2.0300231164652613</v>
      </c>
      <c r="X17" s="39">
        <f t="shared" si="5"/>
        <v>1.6468775757983231E-5</v>
      </c>
      <c r="Y17" s="39">
        <f t="shared" si="6"/>
        <v>1.7780436043005711E-6</v>
      </c>
      <c r="Z17" s="38">
        <f t="shared" si="25"/>
        <v>2.8910984446990509</v>
      </c>
      <c r="AA17" s="38">
        <f t="shared" si="7"/>
        <v>7.1409039339925554E-2</v>
      </c>
      <c r="AB17" s="39">
        <f t="shared" si="8"/>
        <v>4.7612851980002753E-5</v>
      </c>
      <c r="AC17" s="39">
        <f t="shared" si="9"/>
        <v>5.1201821805370416E-6</v>
      </c>
      <c r="AD17" s="40"/>
      <c r="AE17" s="18">
        <f t="shared" si="10"/>
        <v>8.9750628376956119</v>
      </c>
      <c r="AF17" s="18">
        <f t="shared" si="26"/>
        <v>0.30109876021874526</v>
      </c>
      <c r="AG17" s="18">
        <f t="shared" si="11"/>
        <v>9.4379881311280389</v>
      </c>
      <c r="AH17" s="18">
        <f t="shared" si="12"/>
        <v>1.0149406439550797</v>
      </c>
      <c r="AI17" s="18"/>
      <c r="AJ17" s="18">
        <f t="shared" si="13"/>
        <v>8.9750628376956119</v>
      </c>
      <c r="AK17" s="18">
        <f t="shared" si="27"/>
        <v>0.30109876021874526</v>
      </c>
      <c r="AL17" s="18">
        <f t="shared" si="14"/>
        <v>8.8253392437112748</v>
      </c>
      <c r="AM17" s="18">
        <f t="shared" si="15"/>
        <v>0.94905771979009501</v>
      </c>
      <c r="AN17" s="42">
        <f t="shared" si="16"/>
        <v>0.98331782220448727</v>
      </c>
      <c r="AO17" s="40">
        <f t="shared" si="17"/>
        <v>0.11077011121351289</v>
      </c>
      <c r="AP17" s="40">
        <f t="shared" si="32"/>
        <v>1.0350846283490427</v>
      </c>
      <c r="AQ17" s="121">
        <f>AVERAGE(AP6:AP17)</f>
        <v>1.0112346216604868</v>
      </c>
      <c r="AR17" s="121">
        <f>STDEV(AP6:AP17)/SQRT(COUNT(AP6:AP17))</f>
        <v>6.8302960730108617E-3</v>
      </c>
      <c r="AS17" s="40"/>
      <c r="AT17" s="40"/>
      <c r="AU17" s="40"/>
      <c r="AV17" s="35"/>
      <c r="AW17" s="126">
        <f t="shared" si="28"/>
        <v>433.48606068419332</v>
      </c>
      <c r="AX17" s="126" t="e">
        <f t="shared" si="29"/>
        <v>#NUM!</v>
      </c>
      <c r="AY17" s="126">
        <f t="shared" si="30"/>
        <v>221.71734238760405</v>
      </c>
      <c r="AZ17" s="40">
        <v>1</v>
      </c>
      <c r="BA17" s="12">
        <v>5.0000000000000001E-3</v>
      </c>
      <c r="BB17" s="12">
        <v>1</v>
      </c>
      <c r="BC17" s="12">
        <v>5.0000000000000001E-3</v>
      </c>
      <c r="BD17" s="69">
        <f t="shared" si="18"/>
        <v>0.98122602955845806</v>
      </c>
      <c r="BE17" s="69">
        <f t="shared" si="33"/>
        <v>0.12463926881135906</v>
      </c>
      <c r="BF17" s="127">
        <f t="shared" si="19"/>
        <v>7.9750628376956119</v>
      </c>
      <c r="BG17" s="127">
        <f t="shared" si="20"/>
        <v>0.30114027197514692</v>
      </c>
      <c r="BH17" s="127">
        <f t="shared" si="21"/>
        <v>7.8253392437112748</v>
      </c>
      <c r="BI17" s="127">
        <f t="shared" si="22"/>
        <v>0.94907089065737049</v>
      </c>
    </row>
    <row r="18" spans="1:62" ht="15" customHeight="1" x14ac:dyDescent="0.35">
      <c r="A18"/>
      <c r="B18" s="32"/>
      <c r="C18" s="32"/>
      <c r="D18" s="33"/>
      <c r="G18"/>
      <c r="H18"/>
      <c r="I18"/>
      <c r="K18"/>
      <c r="L18"/>
      <c r="M18"/>
      <c r="N18" s="36"/>
      <c r="O18" s="37"/>
      <c r="P18" s="37"/>
      <c r="Q18" s="36"/>
      <c r="S18" s="38"/>
      <c r="W18" s="18"/>
      <c r="X18" s="39"/>
      <c r="Y18" s="39"/>
      <c r="Z18" s="38"/>
      <c r="AA18" s="38"/>
      <c r="AB18" s="39"/>
      <c r="AC18" s="39"/>
      <c r="AD18" s="40"/>
      <c r="AE18" s="18"/>
      <c r="AF18" s="18" t="e">
        <f t="shared" si="26"/>
        <v>#DIV/0!</v>
      </c>
      <c r="AG18" s="18"/>
      <c r="AH18" s="18"/>
      <c r="AI18" s="18"/>
      <c r="AJ18" s="18"/>
      <c r="AK18" s="18" t="e">
        <f t="shared" si="27"/>
        <v>#DIV/0!</v>
      </c>
      <c r="AL18" s="18"/>
      <c r="AM18" s="18"/>
      <c r="AN18" s="42"/>
      <c r="AO18" s="40"/>
      <c r="AP18" s="40"/>
      <c r="AQ18" s="40"/>
      <c r="AR18" s="40"/>
      <c r="AS18" s="40"/>
      <c r="AT18" s="40"/>
      <c r="AU18" s="40"/>
      <c r="AV18" s="35"/>
      <c r="AW18" s="126"/>
      <c r="AX18" s="126"/>
      <c r="AY18" s="126"/>
      <c r="AZ18" s="40"/>
      <c r="BD18" s="69"/>
      <c r="BE18" s="69"/>
      <c r="BF18" s="127"/>
      <c r="BG18" s="127"/>
      <c r="BH18" s="127"/>
      <c r="BI18" s="127"/>
    </row>
    <row r="19" spans="1:62" ht="15" customHeight="1" x14ac:dyDescent="0.5">
      <c r="A19" s="31"/>
      <c r="B19" s="32"/>
      <c r="C19" s="32"/>
      <c r="D19" s="33"/>
      <c r="E19" s="50"/>
      <c r="G19" s="31"/>
      <c r="H19" s="31"/>
      <c r="I19" s="31"/>
      <c r="K19" s="31"/>
      <c r="L19" s="31"/>
      <c r="M19" s="31"/>
      <c r="N19" s="36"/>
      <c r="O19" s="37"/>
      <c r="P19" s="37"/>
      <c r="Q19" s="36"/>
      <c r="S19" s="38"/>
      <c r="W19" s="18"/>
      <c r="X19" s="39"/>
      <c r="Y19" s="39"/>
      <c r="Z19" s="38"/>
      <c r="AA19" s="38"/>
      <c r="AB19" s="39"/>
      <c r="AC19" s="39"/>
      <c r="AD19" s="40"/>
      <c r="AE19" s="18"/>
      <c r="AF19" s="18" t="e">
        <f t="shared" si="26"/>
        <v>#DIV/0!</v>
      </c>
      <c r="AG19" s="18"/>
      <c r="AH19" s="18"/>
      <c r="AI19" s="18"/>
      <c r="AJ19" s="18"/>
      <c r="AK19" s="18" t="e">
        <f t="shared" si="27"/>
        <v>#DIV/0!</v>
      </c>
      <c r="AL19" s="18"/>
      <c r="AM19" s="18"/>
      <c r="AN19" s="42"/>
      <c r="AO19" s="40"/>
      <c r="AP19" s="40"/>
      <c r="AQ19" s="40"/>
      <c r="AR19" s="40"/>
      <c r="AS19" s="40"/>
      <c r="AT19" s="40"/>
      <c r="AU19" s="40"/>
      <c r="AV19" s="40"/>
      <c r="AW19" s="126"/>
      <c r="AX19" s="126"/>
      <c r="AY19" s="126"/>
      <c r="AZ19" s="40"/>
      <c r="BD19" s="69"/>
      <c r="BE19" s="69"/>
      <c r="BF19" s="127"/>
      <c r="BG19" s="127"/>
      <c r="BH19" s="127"/>
      <c r="BI19" s="127"/>
      <c r="BJ19" s="40"/>
    </row>
    <row r="20" spans="1:62" ht="15" customHeight="1" x14ac:dyDescent="0.45">
      <c r="A20" t="s">
        <v>55</v>
      </c>
      <c r="B20" s="32">
        <f t="shared" ref="B20:B64" si="34">(30*I20)/MEDIAN($I$6:$I$17)</f>
        <v>8.837323645057424</v>
      </c>
      <c r="C20" s="32">
        <f t="shared" ref="C20:C64" si="35">(80*L20)/MEDIAN($L$6:$L$17)</f>
        <v>294.02576774699918</v>
      </c>
      <c r="D20" s="33"/>
      <c r="E20" s="46">
        <v>2.3919234006769701</v>
      </c>
      <c r="G20">
        <v>68.3365143345506</v>
      </c>
      <c r="H20">
        <v>4.4372635233524802</v>
      </c>
      <c r="I20">
        <v>114339.81365398801</v>
      </c>
      <c r="J20" s="2">
        <f t="shared" si="0"/>
        <v>2696.2813797944696</v>
      </c>
      <c r="K20">
        <v>5284.7115043971598</v>
      </c>
      <c r="L20">
        <v>3984146.26848036</v>
      </c>
      <c r="M20">
        <v>162902.69963926199</v>
      </c>
      <c r="N20" s="36"/>
      <c r="O20" s="37"/>
      <c r="P20" s="37"/>
      <c r="Q20" s="36"/>
      <c r="R20" s="3">
        <f t="shared" si="1"/>
        <v>0.37792177605648192</v>
      </c>
      <c r="S20" s="38">
        <f t="shared" si="2"/>
        <v>1.7706113436484528E-2</v>
      </c>
      <c r="T20" s="77">
        <v>0.33297506174850489</v>
      </c>
      <c r="U20" s="3">
        <f t="shared" ref="U20:U32" si="36">G20-(I20*$AT$2)</f>
        <v>67.958592558494118</v>
      </c>
      <c r="V20" s="3">
        <f t="shared" si="3"/>
        <v>2.2513898480147261</v>
      </c>
      <c r="W20" s="18">
        <f>SQRT((V20/U20)^2+($W$83)^2+(T20/1.96)^2)*U20</f>
        <v>11.762631953263604</v>
      </c>
      <c r="X20" s="39">
        <f t="shared" si="5"/>
        <v>1.705725341866402E-5</v>
      </c>
      <c r="Y20" s="39">
        <f t="shared" si="6"/>
        <v>2.9737255149421696E-6</v>
      </c>
      <c r="Z20" s="38">
        <f t="shared" si="25"/>
        <v>34.844785391526642</v>
      </c>
      <c r="AA20" s="38">
        <f t="shared" si="7"/>
        <v>0.74627650997903405</v>
      </c>
      <c r="AB20" s="39">
        <f t="shared" si="8"/>
        <v>5.9435633474223197E-4</v>
      </c>
      <c r="AC20" s="39">
        <f t="shared" si="9"/>
        <v>1.0382469786419602E-4</v>
      </c>
      <c r="AD20" s="40"/>
      <c r="AE20" s="18">
        <f t="shared" si="10"/>
        <v>108.17139036838429</v>
      </c>
      <c r="AF20" s="18">
        <f>(SQRT(((M20/1.96)/L20)^2 + (J20/I20)^2+($AR$17/$AQ$17)^2)*AE20)</f>
        <v>3.4831938982977313</v>
      </c>
      <c r="AG20" s="18">
        <f t="shared" si="11"/>
        <v>110.78030462776319</v>
      </c>
      <c r="AH20" s="18">
        <f t="shared" si="12"/>
        <v>19.351575788738465</v>
      </c>
      <c r="AI20" s="18"/>
      <c r="AJ20" s="18">
        <f t="shared" si="13"/>
        <v>108.17139036838429</v>
      </c>
      <c r="AK20" s="18">
        <f t="shared" si="27"/>
        <v>3.4831938982977313</v>
      </c>
      <c r="AL20" s="18">
        <f t="shared" si="14"/>
        <v>110.16765574034642</v>
      </c>
      <c r="AM20" s="18">
        <f t="shared" si="15"/>
        <v>19.244555669805152</v>
      </c>
      <c r="AN20" s="42">
        <f t="shared" si="16"/>
        <v>1.0184546520587718</v>
      </c>
      <c r="AO20" s="40">
        <f t="shared" si="17"/>
        <v>0.18090540308360861</v>
      </c>
      <c r="AP20" s="40"/>
      <c r="AQ20" s="51"/>
      <c r="AR20" s="40"/>
      <c r="AS20" s="40"/>
      <c r="AT20" s="40"/>
      <c r="AU20" s="40"/>
      <c r="AV20" s="40"/>
      <c r="AW20" s="126" t="e">
        <f t="shared" si="28"/>
        <v>#NUM!</v>
      </c>
      <c r="AX20" s="126" t="e">
        <f t="shared" si="29"/>
        <v>#NUM!</v>
      </c>
      <c r="AY20" s="126" t="e">
        <f t="shared" si="30"/>
        <v>#NUM!</v>
      </c>
      <c r="AZ20" s="40">
        <v>1</v>
      </c>
      <c r="BA20" s="12">
        <v>5.0000000000000001E-3</v>
      </c>
      <c r="BB20" s="40">
        <v>1</v>
      </c>
      <c r="BC20" s="12">
        <v>5.0000000000000001E-3</v>
      </c>
      <c r="BD20" s="69">
        <f t="shared" ref="BD20:BD32" si="37">(AL20-BB20)/(AJ20-AZ20)</f>
        <v>1.0186268496200366</v>
      </c>
      <c r="BE20" s="69">
        <f t="shared" si="33"/>
        <v>0.18259443077630677</v>
      </c>
      <c r="BF20" s="127">
        <f t="shared" ref="BF20:BF32" si="38">AJ20-AZ20</f>
        <v>107.17139036838429</v>
      </c>
      <c r="BG20" s="127">
        <f t="shared" ref="BG20:BG32" si="39">SQRT(BA20^2+AK20^2)</f>
        <v>3.4831974869562803</v>
      </c>
      <c r="BH20" s="127">
        <f t="shared" ref="BH20:BH32" si="40">AL20-BB20</f>
        <v>109.16765574034642</v>
      </c>
      <c r="BI20" s="127">
        <f t="shared" ref="BI20:BI32" si="41">SQRT(BC20^2+AM20^2)</f>
        <v>19.244556319339495</v>
      </c>
      <c r="BJ20" s="40"/>
    </row>
    <row r="21" spans="1:62" ht="14.25" x14ac:dyDescent="0.45">
      <c r="A21" t="s">
        <v>56</v>
      </c>
      <c r="B21" s="32">
        <f t="shared" si="34"/>
        <v>9.0021637083219446</v>
      </c>
      <c r="C21" s="32">
        <f t="shared" si="35"/>
        <v>306.13201396901894</v>
      </c>
      <c r="D21" s="33"/>
      <c r="E21" s="46">
        <v>3.1608333819494301</v>
      </c>
      <c r="G21">
        <v>66.799016288126197</v>
      </c>
      <c r="H21">
        <v>3.0978860667037602</v>
      </c>
      <c r="I21">
        <v>116472.56140357599</v>
      </c>
      <c r="J21" s="2">
        <f t="shared" si="0"/>
        <v>2312.5953920684797</v>
      </c>
      <c r="K21">
        <v>4532.6869684542198</v>
      </c>
      <c r="L21">
        <v>4148189.9034323399</v>
      </c>
      <c r="M21">
        <v>181840.577992479</v>
      </c>
      <c r="N21" s="36"/>
      <c r="O21" s="37"/>
      <c r="P21" s="37"/>
      <c r="Q21" s="36"/>
      <c r="R21" s="3">
        <f t="shared" si="1"/>
        <v>0.38497104255121428</v>
      </c>
      <c r="S21" s="38">
        <f t="shared" si="2"/>
        <v>1.2881972392952809E-2</v>
      </c>
      <c r="T21" s="77">
        <v>0.23558395419894979</v>
      </c>
      <c r="U21" s="3">
        <f t="shared" si="36"/>
        <v>66.414045245574982</v>
      </c>
      <c r="V21" s="3">
        <f t="shared" si="3"/>
        <v>1.5714451856310689</v>
      </c>
      <c r="W21" s="18">
        <f t="shared" ref="W21:W32" si="42">SQRT((V21/U21)^2+($W$83)^2+(T21/1.96)^2)*U21</f>
        <v>8.1359000211793191</v>
      </c>
      <c r="X21" s="39">
        <f t="shared" si="5"/>
        <v>1.6010367604101721E-5</v>
      </c>
      <c r="Y21" s="39">
        <f t="shared" si="6"/>
        <v>1.9937325722882962E-6</v>
      </c>
      <c r="Z21" s="38">
        <f t="shared" si="25"/>
        <v>35.615168529340679</v>
      </c>
      <c r="AA21" s="38">
        <f>(SQRT((M21/1.96)/L21)^2+(J21/I21)^2)*Z21</f>
        <v>0.8105870933264403</v>
      </c>
      <c r="AB21" s="39">
        <f t="shared" si="8"/>
        <v>5.7021194043677917E-4</v>
      </c>
      <c r="AC21" s="39">
        <f t="shared" si="9"/>
        <v>7.0764069749540645E-5</v>
      </c>
      <c r="AD21" s="40"/>
      <c r="AE21" s="18">
        <f t="shared" si="10"/>
        <v>110.56295094760277</v>
      </c>
      <c r="AF21" s="18">
        <f t="shared" si="26"/>
        <v>3.3899114075645347</v>
      </c>
      <c r="AG21" s="18">
        <f t="shared" si="11"/>
        <v>106.30499046953872</v>
      </c>
      <c r="AH21" s="18">
        <f t="shared" si="12"/>
        <v>13.192592485082727</v>
      </c>
      <c r="AI21" s="18"/>
      <c r="AJ21" s="18">
        <f t="shared" si="13"/>
        <v>110.56295094760277</v>
      </c>
      <c r="AK21" s="18">
        <f t="shared" si="27"/>
        <v>3.3899114075645347</v>
      </c>
      <c r="AL21" s="18">
        <f t="shared" si="14"/>
        <v>105.69234158212195</v>
      </c>
      <c r="AM21" s="18">
        <f t="shared" si="15"/>
        <v>13.116561933060385</v>
      </c>
      <c r="AN21" s="42">
        <f t="shared" si="16"/>
        <v>0.95594718371989673</v>
      </c>
      <c r="AO21" s="40">
        <f t="shared" si="17"/>
        <v>0.1222013437610536</v>
      </c>
      <c r="AP21" s="40"/>
      <c r="AQ21" s="40"/>
      <c r="AR21" s="40"/>
      <c r="AS21" s="40"/>
      <c r="AT21" s="40"/>
      <c r="AU21" s="40"/>
      <c r="AV21" s="40"/>
      <c r="AW21" s="126">
        <f t="shared" si="28"/>
        <v>339.48860181208568</v>
      </c>
      <c r="AX21" s="126" t="e">
        <f t="shared" si="29"/>
        <v>#NUM!</v>
      </c>
      <c r="AY21" s="126">
        <f t="shared" si="30"/>
        <v>144.82424433531165</v>
      </c>
      <c r="AZ21" s="40">
        <v>1</v>
      </c>
      <c r="BA21" s="12">
        <v>5.0000000000000001E-3</v>
      </c>
      <c r="BB21" s="40">
        <v>1</v>
      </c>
      <c r="BC21" s="12">
        <v>5.0000000000000001E-3</v>
      </c>
      <c r="BD21" s="69">
        <f t="shared" si="37"/>
        <v>0.95554510604766263</v>
      </c>
      <c r="BE21" s="69">
        <f t="shared" si="33"/>
        <v>0.12331372949359341</v>
      </c>
      <c r="BF21" s="127">
        <f t="shared" si="38"/>
        <v>109.56295094760277</v>
      </c>
      <c r="BG21" s="127">
        <f t="shared" si="39"/>
        <v>3.3899150949745285</v>
      </c>
      <c r="BH21" s="127">
        <f t="shared" si="40"/>
        <v>104.69234158212195</v>
      </c>
      <c r="BI21" s="127">
        <f t="shared" si="41"/>
        <v>13.116562886053982</v>
      </c>
      <c r="BJ21" s="40"/>
    </row>
    <row r="22" spans="1:62" ht="14.25" x14ac:dyDescent="0.45">
      <c r="A22" t="s">
        <v>57</v>
      </c>
      <c r="B22" s="32">
        <f t="shared" si="34"/>
        <v>9.2856789001333553</v>
      </c>
      <c r="C22" s="32">
        <f>(80*L22)/MEDIAN($L$6:$L$17)</f>
        <v>313.64441762084323</v>
      </c>
      <c r="D22" s="33"/>
      <c r="E22" s="46">
        <v>0.11196503070290501</v>
      </c>
      <c r="G22">
        <v>64.919498125716501</v>
      </c>
      <c r="H22">
        <v>3.4160312861944702</v>
      </c>
      <c r="I22">
        <v>120140.76181150399</v>
      </c>
      <c r="J22" s="2">
        <f t="shared" si="0"/>
        <v>2726.213238118602</v>
      </c>
      <c r="K22">
        <v>5343.3779467124596</v>
      </c>
      <c r="L22">
        <v>4249985.4542307602</v>
      </c>
      <c r="M22">
        <v>203526.19218733799</v>
      </c>
      <c r="N22" s="36"/>
      <c r="O22" s="37"/>
      <c r="P22" s="37"/>
      <c r="Q22" s="36"/>
      <c r="R22" s="3">
        <f t="shared" si="1"/>
        <v>0.39709536538148882</v>
      </c>
      <c r="S22" s="38">
        <f t="shared" si="2"/>
        <v>1.5076496478749047E-2</v>
      </c>
      <c r="T22" s="77">
        <v>0.24849406621698203</v>
      </c>
      <c r="U22" s="3">
        <f t="shared" si="36"/>
        <v>64.522402760335012</v>
      </c>
      <c r="V22" s="3">
        <f t="shared" si="3"/>
        <v>1.7322124123046017</v>
      </c>
      <c r="W22" s="18">
        <f t="shared" si="42"/>
        <v>8.3617135669067366</v>
      </c>
      <c r="X22" s="39">
        <f t="shared" si="5"/>
        <v>1.5181793786165665E-5</v>
      </c>
      <c r="Y22" s="39">
        <f t="shared" si="6"/>
        <v>2.0021307060272639E-6</v>
      </c>
      <c r="Z22" s="38">
        <f t="shared" si="25"/>
        <v>35.375049984274412</v>
      </c>
      <c r="AA22" s="38">
        <f t="shared" si="7"/>
        <v>0.88253387489798119</v>
      </c>
      <c r="AB22" s="39">
        <f t="shared" si="8"/>
        <v>5.3705671403655704E-4</v>
      </c>
      <c r="AC22" s="39">
        <f t="shared" si="9"/>
        <v>7.0658200774733712E-5</v>
      </c>
      <c r="AD22" s="40"/>
      <c r="AE22" s="18">
        <f t="shared" si="10"/>
        <v>109.81753218318221</v>
      </c>
      <c r="AF22" s="18">
        <f t="shared" si="26"/>
        <v>3.7362379800706114</v>
      </c>
      <c r="AG22" s="18">
        <f t="shared" si="11"/>
        <v>100.15946235022113</v>
      </c>
      <c r="AH22" s="18">
        <f t="shared" si="12"/>
        <v>13.177541990005873</v>
      </c>
      <c r="AI22" s="18"/>
      <c r="AJ22" s="18">
        <f t="shared" si="13"/>
        <v>109.81753218318221</v>
      </c>
      <c r="AK22" s="18">
        <f t="shared" si="27"/>
        <v>3.7362379800706114</v>
      </c>
      <c r="AL22" s="18">
        <f t="shared" si="14"/>
        <v>99.54681346280438</v>
      </c>
      <c r="AM22" s="18">
        <f t="shared" si="15"/>
        <v>13.096938457901881</v>
      </c>
      <c r="AN22" s="42">
        <f t="shared" si="16"/>
        <v>0.90647469018657556</v>
      </c>
      <c r="AO22" s="40">
        <f t="shared" si="17"/>
        <v>0.12318395878418593</v>
      </c>
      <c r="AP22" s="40"/>
      <c r="AQ22" s="40"/>
      <c r="AR22" s="40"/>
      <c r="AS22" s="40"/>
      <c r="AT22" s="40"/>
      <c r="AU22" s="40"/>
      <c r="AV22" s="40"/>
      <c r="AW22" s="126">
        <f t="shared" si="28"/>
        <v>257.3878696720667</v>
      </c>
      <c r="AX22" s="126" t="e">
        <f t="shared" si="29"/>
        <v>#NUM!</v>
      </c>
      <c r="AY22" s="126">
        <f t="shared" si="30"/>
        <v>91.629779168936437</v>
      </c>
      <c r="AZ22" s="40">
        <v>1</v>
      </c>
      <c r="BA22" s="12">
        <v>5.0000000000000001E-3</v>
      </c>
      <c r="BB22" s="40">
        <v>1</v>
      </c>
      <c r="BC22" s="12">
        <v>5.0000000000000001E-3</v>
      </c>
      <c r="BD22" s="69">
        <f t="shared" si="37"/>
        <v>0.90561522105566394</v>
      </c>
      <c r="BE22" s="69">
        <f t="shared" si="33"/>
        <v>0.12430861255336952</v>
      </c>
      <c r="BF22" s="127">
        <f t="shared" si="38"/>
        <v>108.81753218318221</v>
      </c>
      <c r="BG22" s="127">
        <f t="shared" si="39"/>
        <v>3.7362413256804121</v>
      </c>
      <c r="BH22" s="127">
        <f t="shared" si="40"/>
        <v>98.54681346280438</v>
      </c>
      <c r="BI22" s="127">
        <f t="shared" si="41"/>
        <v>13.096939412323374</v>
      </c>
      <c r="BJ22" s="40"/>
    </row>
    <row r="23" spans="1:62" ht="14.25" x14ac:dyDescent="0.45">
      <c r="A23" t="s">
        <v>58</v>
      </c>
      <c r="B23" s="32">
        <f t="shared" si="34"/>
        <v>10.238167345216876</v>
      </c>
      <c r="C23" s="32">
        <f t="shared" si="35"/>
        <v>337.03863970747545</v>
      </c>
      <c r="D23" s="33"/>
      <c r="E23" s="46">
        <v>2.4686766892376002</v>
      </c>
      <c r="G23">
        <v>79.962555154417799</v>
      </c>
      <c r="H23">
        <v>4.6817124900592804</v>
      </c>
      <c r="I23">
        <v>132464.328956104</v>
      </c>
      <c r="J23" s="2">
        <f t="shared" si="0"/>
        <v>3140.7902548330562</v>
      </c>
      <c r="K23">
        <v>6155.9488994727899</v>
      </c>
      <c r="L23">
        <v>4566984.8905205</v>
      </c>
      <c r="M23">
        <v>191289.91932569499</v>
      </c>
      <c r="N23" s="36"/>
      <c r="O23" s="37"/>
      <c r="P23" s="37"/>
      <c r="Q23" s="36"/>
      <c r="R23" s="3">
        <f t="shared" si="1"/>
        <v>0.43782784721614121</v>
      </c>
      <c r="S23" s="38">
        <f t="shared" si="2"/>
        <v>1.8496109310296705E-2</v>
      </c>
      <c r="T23" s="77">
        <v>0.16661453604828522</v>
      </c>
      <c r="U23" s="3">
        <f t="shared" si="36"/>
        <v>79.524727307201658</v>
      </c>
      <c r="V23" s="3">
        <f t="shared" si="3"/>
        <v>2.3755500971399384</v>
      </c>
      <c r="W23" s="18">
        <f t="shared" si="42"/>
        <v>7.1654329103300665</v>
      </c>
      <c r="X23" s="39">
        <f t="shared" si="5"/>
        <v>1.7412960457186495E-5</v>
      </c>
      <c r="Y23" s="39">
        <f t="shared" si="6"/>
        <v>1.6124879681704855E-6</v>
      </c>
      <c r="Z23" s="38">
        <f t="shared" si="25"/>
        <v>34.477092259561488</v>
      </c>
      <c r="AA23" s="38">
        <f t="shared" si="7"/>
        <v>0.7561612481660569</v>
      </c>
      <c r="AB23" s="39">
        <f t="shared" si="8"/>
        <v>6.0034824419451477E-4</v>
      </c>
      <c r="AC23" s="39">
        <f t="shared" si="9"/>
        <v>5.5934848078995766E-5</v>
      </c>
      <c r="AD23" s="40"/>
      <c r="AE23" s="18">
        <f t="shared" si="10"/>
        <v>107.0299318440552</v>
      </c>
      <c r="AF23" s="18">
        <f t="shared" si="26"/>
        <v>3.4920128283806209</v>
      </c>
      <c r="AG23" s="18">
        <f t="shared" si="11"/>
        <v>111.89094243740765</v>
      </c>
      <c r="AH23" s="18">
        <f>AC23/AB23*AG23</f>
        <v>10.424954061536738</v>
      </c>
      <c r="AI23" s="18"/>
      <c r="AJ23" s="18">
        <f t="shared" si="13"/>
        <v>107.0299318440552</v>
      </c>
      <c r="AK23" s="18">
        <f t="shared" si="27"/>
        <v>3.4920128283806209</v>
      </c>
      <c r="AL23" s="18">
        <f t="shared" si="14"/>
        <v>111.27829354999088</v>
      </c>
      <c r="AM23" s="18">
        <f t="shared" si="15"/>
        <v>10.367873154288645</v>
      </c>
      <c r="AN23" s="42">
        <f t="shared" si="16"/>
        <v>1.0396932113544239</v>
      </c>
      <c r="AO23" s="40">
        <f t="shared" si="17"/>
        <v>0.10263653537454709</v>
      </c>
      <c r="AP23" s="40"/>
      <c r="AQ23" s="40"/>
      <c r="AR23" s="40"/>
      <c r="AS23" s="40"/>
      <c r="AT23" s="40"/>
      <c r="AU23" s="40"/>
      <c r="AV23" s="40"/>
      <c r="AW23" s="126" t="e">
        <f t="shared" si="28"/>
        <v>#NUM!</v>
      </c>
      <c r="AX23" s="126" t="e">
        <f t="shared" si="29"/>
        <v>#NUM!</v>
      </c>
      <c r="AY23" s="126" t="e">
        <f t="shared" si="30"/>
        <v>#NUM!</v>
      </c>
      <c r="AZ23" s="40">
        <v>1</v>
      </c>
      <c r="BA23" s="12">
        <v>5.0000000000000001E-3</v>
      </c>
      <c r="BB23" s="40">
        <v>1</v>
      </c>
      <c r="BC23" s="12">
        <v>5.0000000000000001E-3</v>
      </c>
      <c r="BD23" s="69">
        <f t="shared" si="37"/>
        <v>1.0400675699026574</v>
      </c>
      <c r="BE23" s="69">
        <f t="shared" si="33"/>
        <v>0.10360862905548263</v>
      </c>
      <c r="BF23" s="127">
        <f t="shared" si="38"/>
        <v>106.0299318440552</v>
      </c>
      <c r="BG23" s="127">
        <f t="shared" si="39"/>
        <v>3.4920164079761746</v>
      </c>
      <c r="BH23" s="127">
        <f t="shared" si="40"/>
        <v>110.27829354999088</v>
      </c>
      <c r="BI23" s="127">
        <f t="shared" si="41"/>
        <v>10.367874359936041</v>
      </c>
      <c r="BJ23" s="40"/>
    </row>
    <row r="24" spans="1:62" ht="14.25" x14ac:dyDescent="0.45">
      <c r="A24" t="s">
        <v>59</v>
      </c>
      <c r="B24" s="32">
        <f t="shared" si="34"/>
        <v>10.680908203050603</v>
      </c>
      <c r="C24" s="32">
        <f t="shared" si="35"/>
        <v>351.48998596379704</v>
      </c>
      <c r="D24" s="33"/>
      <c r="E24" s="46">
        <v>1.5570411241825399</v>
      </c>
      <c r="G24">
        <v>87.297989182953799</v>
      </c>
      <c r="H24">
        <v>6.1740225751477498</v>
      </c>
      <c r="I24">
        <v>138192.63644091901</v>
      </c>
      <c r="J24" s="2">
        <f t="shared" si="0"/>
        <v>2860.548291587801</v>
      </c>
      <c r="K24">
        <v>5606.6746515120903</v>
      </c>
      <c r="L24">
        <v>4762805.4055142198</v>
      </c>
      <c r="M24">
        <v>191862.610899299</v>
      </c>
      <c r="N24" s="36"/>
      <c r="O24" s="37"/>
      <c r="P24" s="37"/>
      <c r="Q24" s="36"/>
      <c r="R24" s="3">
        <f t="shared" si="1"/>
        <v>0.45676134088975573</v>
      </c>
      <c r="S24" s="38">
        <f t="shared" si="2"/>
        <v>2.3308387979674973E-2</v>
      </c>
      <c r="T24" s="77">
        <v>0.21082757480131425</v>
      </c>
      <c r="U24" s="3">
        <f t="shared" si="36"/>
        <v>86.841227842064043</v>
      </c>
      <c r="V24" s="3">
        <f t="shared" si="3"/>
        <v>3.1335299987335703</v>
      </c>
      <c r="W24" s="18">
        <f t="shared" si="42"/>
        <v>9.8526579333568414</v>
      </c>
      <c r="X24" s="39">
        <f t="shared" si="5"/>
        <v>1.8233209305910782E-5</v>
      </c>
      <c r="Y24" s="39">
        <f t="shared" si="6"/>
        <v>2.1023357865395784E-6</v>
      </c>
      <c r="Z24" s="38">
        <f t="shared" si="25"/>
        <v>34.464972433972228</v>
      </c>
      <c r="AA24" s="38">
        <f t="shared" si="7"/>
        <v>0.72311990135787907</v>
      </c>
      <c r="AB24" s="39">
        <f t="shared" si="8"/>
        <v>6.2840705611106099E-4</v>
      </c>
      <c r="AC24" s="39">
        <f t="shared" si="9"/>
        <v>7.2473456157795898E-5</v>
      </c>
      <c r="AD24" s="40"/>
      <c r="AE24" s="18">
        <f t="shared" si="10"/>
        <v>106.99230732232886</v>
      </c>
      <c r="AF24" s="18">
        <f t="shared" si="26"/>
        <v>3.2035554705437295</v>
      </c>
      <c r="AG24" s="18">
        <f t="shared" si="11"/>
        <v>117.09181832787125</v>
      </c>
      <c r="AH24" s="18">
        <f t="shared" si="12"/>
        <v>13.504063456158589</v>
      </c>
      <c r="AI24" s="18"/>
      <c r="AJ24" s="18">
        <f t="shared" si="13"/>
        <v>106.99230732232886</v>
      </c>
      <c r="AK24" s="18">
        <f t="shared" si="27"/>
        <v>3.2035554705437295</v>
      </c>
      <c r="AL24" s="18">
        <f t="shared" si="14"/>
        <v>116.47916944045448</v>
      </c>
      <c r="AM24" s="18">
        <f t="shared" si="15"/>
        <v>13.433407371299996</v>
      </c>
      <c r="AN24" s="42">
        <f t="shared" si="16"/>
        <v>1.0886686375455497</v>
      </c>
      <c r="AO24" s="40">
        <f t="shared" si="17"/>
        <v>0.12971732308766903</v>
      </c>
      <c r="AP24" s="40"/>
      <c r="AQ24" s="40"/>
      <c r="AR24" s="40"/>
      <c r="AS24" s="40"/>
      <c r="AT24" s="40"/>
      <c r="AU24" s="40"/>
      <c r="AV24" s="40"/>
      <c r="AW24" s="126" t="e">
        <f t="shared" si="28"/>
        <v>#NUM!</v>
      </c>
      <c r="AX24" s="126" t="e">
        <f t="shared" si="29"/>
        <v>#NUM!</v>
      </c>
      <c r="AY24" s="126" t="e">
        <f t="shared" si="30"/>
        <v>#NUM!</v>
      </c>
      <c r="AZ24" s="40">
        <v>1</v>
      </c>
      <c r="BA24" s="12">
        <v>5.0000000000000001E-3</v>
      </c>
      <c r="BB24" s="40">
        <v>1</v>
      </c>
      <c r="BC24" s="12">
        <v>5.0000000000000001E-3</v>
      </c>
      <c r="BD24" s="69">
        <f t="shared" si="37"/>
        <v>1.0895051948371641</v>
      </c>
      <c r="BE24" s="69">
        <f t="shared" si="33"/>
        <v>0.13094753486862651</v>
      </c>
      <c r="BF24" s="127">
        <f t="shared" si="38"/>
        <v>105.99230732232886</v>
      </c>
      <c r="BG24" s="127">
        <f t="shared" si="39"/>
        <v>3.2035593724559961</v>
      </c>
      <c r="BH24" s="127">
        <f t="shared" si="40"/>
        <v>115.47916944045448</v>
      </c>
      <c r="BI24" s="127">
        <f t="shared" si="41"/>
        <v>13.433408301815927</v>
      </c>
      <c r="BJ24" s="40"/>
    </row>
    <row r="25" spans="1:62" ht="14.25" x14ac:dyDescent="0.45">
      <c r="A25" t="s">
        <v>60</v>
      </c>
      <c r="B25" s="32">
        <f t="shared" si="34"/>
        <v>10.240024724136285</v>
      </c>
      <c r="C25" s="32">
        <f t="shared" si="35"/>
        <v>349.37391080349232</v>
      </c>
      <c r="D25" s="33"/>
      <c r="E25" s="46">
        <v>8.34541146717301</v>
      </c>
      <c r="G25">
        <v>76.353436941940799</v>
      </c>
      <c r="H25">
        <v>4.5067418622085098</v>
      </c>
      <c r="I25">
        <v>132488.36025427299</v>
      </c>
      <c r="J25" s="2">
        <f t="shared" si="0"/>
        <v>2969.7330213081736</v>
      </c>
      <c r="K25">
        <v>5820.6767217640199</v>
      </c>
      <c r="L25">
        <v>4734131.88816112</v>
      </c>
      <c r="M25">
        <v>209611.34355895201</v>
      </c>
      <c r="N25" s="36"/>
      <c r="O25" s="37"/>
      <c r="P25" s="37"/>
      <c r="Q25" s="36"/>
      <c r="R25" s="3">
        <f t="shared" si="1"/>
        <v>0.4379072766869001</v>
      </c>
      <c r="S25" s="38">
        <f t="shared" si="2"/>
        <v>1.8649843019826771E-2</v>
      </c>
      <c r="T25" s="77">
        <v>0.13668556202397483</v>
      </c>
      <c r="U25" s="3">
        <f t="shared" si="36"/>
        <v>75.915529665253899</v>
      </c>
      <c r="V25" s="3">
        <f t="shared" si="3"/>
        <v>2.2861706624961413</v>
      </c>
      <c r="W25" s="18">
        <f t="shared" si="42"/>
        <v>5.7666908968203785</v>
      </c>
      <c r="X25" s="39">
        <f t="shared" si="5"/>
        <v>1.6035786804989455E-5</v>
      </c>
      <c r="Y25" s="39">
        <f t="shared" si="6"/>
        <v>1.2708327555921843E-6</v>
      </c>
      <c r="Z25" s="38">
        <f t="shared" si="25"/>
        <v>35.732436261384215</v>
      </c>
      <c r="AA25" s="38">
        <f t="shared" si="7"/>
        <v>0.82515289299783701</v>
      </c>
      <c r="AB25" s="39">
        <f t="shared" si="8"/>
        <v>5.7299772991043179E-4</v>
      </c>
      <c r="AC25" s="39">
        <f t="shared" si="9"/>
        <v>4.5381458924663325E-5</v>
      </c>
      <c r="AD25" s="40"/>
      <c r="AE25" s="18">
        <f t="shared" si="10"/>
        <v>110.92699433251572</v>
      </c>
      <c r="AF25" s="18">
        <f t="shared" si="26"/>
        <v>3.6087427290003724</v>
      </c>
      <c r="AG25" s="18">
        <f t="shared" si="11"/>
        <v>106.82135393327054</v>
      </c>
      <c r="AH25" s="18">
        <f t="shared" si="12"/>
        <v>8.4602584491170845</v>
      </c>
      <c r="AI25" s="18"/>
      <c r="AJ25" s="18">
        <f t="shared" si="13"/>
        <v>110.92699433251572</v>
      </c>
      <c r="AK25" s="18">
        <f t="shared" si="27"/>
        <v>3.6087427290003724</v>
      </c>
      <c r="AL25" s="18">
        <f t="shared" si="14"/>
        <v>106.20870504585378</v>
      </c>
      <c r="AM25" s="18">
        <f t="shared" si="15"/>
        <v>8.4117366158388087</v>
      </c>
      <c r="AN25" s="42">
        <f t="shared" si="16"/>
        <v>0.95746491361229569</v>
      </c>
      <c r="AO25" s="40">
        <f t="shared" si="17"/>
        <v>8.1979464851308234E-2</v>
      </c>
      <c r="AP25" s="40"/>
      <c r="AQ25" s="40"/>
      <c r="AR25" s="40"/>
      <c r="AS25" s="40"/>
      <c r="AT25" s="40"/>
      <c r="AU25" s="40"/>
      <c r="AV25" s="40"/>
      <c r="AW25" s="126">
        <f t="shared" si="28"/>
        <v>343.31499514028172</v>
      </c>
      <c r="AX25" s="126" t="e">
        <f t="shared" si="29"/>
        <v>#NUM!</v>
      </c>
      <c r="AY25" s="126">
        <f t="shared" si="30"/>
        <v>117.12066656284475</v>
      </c>
      <c r="AZ25" s="40">
        <v>1</v>
      </c>
      <c r="BA25" s="12">
        <v>5.0000000000000001E-3</v>
      </c>
      <c r="BB25" s="40">
        <v>1</v>
      </c>
      <c r="BC25" s="12">
        <v>5.0000000000000001E-3</v>
      </c>
      <c r="BD25" s="69">
        <f t="shared" si="37"/>
        <v>0.95707797420177165</v>
      </c>
      <c r="BE25" s="69">
        <f t="shared" si="33"/>
        <v>8.2720425976250914E-2</v>
      </c>
      <c r="BF25" s="127">
        <f t="shared" si="38"/>
        <v>109.92699433251572</v>
      </c>
      <c r="BG25" s="127">
        <f t="shared" si="39"/>
        <v>3.6087461928089453</v>
      </c>
      <c r="BH25" s="127">
        <f t="shared" si="40"/>
        <v>105.20870504585378</v>
      </c>
      <c r="BI25" s="127">
        <f t="shared" si="41"/>
        <v>8.4117381018576243</v>
      </c>
      <c r="BJ25" s="40"/>
    </row>
    <row r="26" spans="1:62" ht="14.25" x14ac:dyDescent="0.45">
      <c r="A26" t="s">
        <v>61</v>
      </c>
      <c r="B26" s="32">
        <f t="shared" si="34"/>
        <v>8.1419594555238817</v>
      </c>
      <c r="C26" s="32">
        <f t="shared" si="35"/>
        <v>278.19875265459785</v>
      </c>
      <c r="D26" s="33"/>
      <c r="E26" s="46">
        <v>4.5788564223703396</v>
      </c>
      <c r="G26">
        <v>60.402434156072999</v>
      </c>
      <c r="H26">
        <v>3.23414567534055</v>
      </c>
      <c r="I26">
        <v>105342.993457481</v>
      </c>
      <c r="J26" s="2">
        <f t="shared" si="0"/>
        <v>1920.3071374618216</v>
      </c>
      <c r="K26">
        <v>3763.8019894251702</v>
      </c>
      <c r="L26">
        <v>3769684.9863799699</v>
      </c>
      <c r="M26">
        <v>145209.58080584701</v>
      </c>
      <c r="N26" s="36"/>
      <c r="O26" s="37"/>
      <c r="P26" s="37"/>
      <c r="Q26" s="36"/>
      <c r="R26" s="3">
        <f t="shared" si="1"/>
        <v>0.3481850276845293</v>
      </c>
      <c r="S26" s="38">
        <f t="shared" si="2"/>
        <v>1.3451606544737548E-2</v>
      </c>
      <c r="T26" s="77">
        <v>0.1411329720042856</v>
      </c>
      <c r="U26" s="3">
        <f t="shared" si="36"/>
        <v>60.05424912838847</v>
      </c>
      <c r="V26" s="3">
        <f t="shared" si="3"/>
        <v>1.6405626019477044</v>
      </c>
      <c r="W26" s="18">
        <f t="shared" si="42"/>
        <v>4.6250454627834818</v>
      </c>
      <c r="X26" s="39">
        <f t="shared" si="5"/>
        <v>1.5930840201599601E-5</v>
      </c>
      <c r="Y26" s="39">
        <f t="shared" si="6"/>
        <v>1.2662238868733315E-6</v>
      </c>
      <c r="Z26" s="38">
        <f t="shared" si="25"/>
        <v>35.784866773332261</v>
      </c>
      <c r="AA26" s="38">
        <f t="shared" si="7"/>
        <v>0.71517985125567141</v>
      </c>
      <c r="AB26" s="39">
        <f t="shared" si="8"/>
        <v>5.7008299420148738E-4</v>
      </c>
      <c r="AC26" s="39">
        <f t="shared" si="9"/>
        <v>4.5117761948501528E-5</v>
      </c>
      <c r="AD26" s="40"/>
      <c r="AE26" s="18">
        <f t="shared" si="10"/>
        <v>111.08975846813658</v>
      </c>
      <c r="AF26" s="18">
        <f t="shared" si="26"/>
        <v>3.0709270450796655</v>
      </c>
      <c r="AG26" s="18">
        <f t="shared" si="11"/>
        <v>106.28108948013514</v>
      </c>
      <c r="AH26" s="18">
        <f t="shared" si="12"/>
        <v>8.4113452665057871</v>
      </c>
      <c r="AI26" s="18"/>
      <c r="AJ26" s="18">
        <f t="shared" si="13"/>
        <v>111.08975846813658</v>
      </c>
      <c r="AK26" s="18">
        <f t="shared" si="27"/>
        <v>3.0709270450796655</v>
      </c>
      <c r="AL26" s="18">
        <f t="shared" si="14"/>
        <v>105.66844059271835</v>
      </c>
      <c r="AM26" s="18">
        <f t="shared" si="15"/>
        <v>8.3628587356995112</v>
      </c>
      <c r="AN26" s="42">
        <f t="shared" si="16"/>
        <v>0.95119876080230026</v>
      </c>
      <c r="AO26" s="40">
        <f t="shared" si="17"/>
        <v>7.9740293512077079E-2</v>
      </c>
      <c r="AP26" s="40"/>
      <c r="AQ26" s="40"/>
      <c r="AR26" s="40"/>
      <c r="AS26" s="40"/>
      <c r="AT26" s="40"/>
      <c r="AU26" s="40"/>
      <c r="AV26" s="40"/>
      <c r="AW26" s="126">
        <f t="shared" si="28"/>
        <v>328.33074344793607</v>
      </c>
      <c r="AX26" s="126" t="e">
        <f t="shared" si="29"/>
        <v>#NUM!</v>
      </c>
      <c r="AY26" s="126">
        <f t="shared" si="30"/>
        <v>105.60657720970099</v>
      </c>
      <c r="AZ26" s="40">
        <v>1</v>
      </c>
      <c r="BA26" s="12">
        <v>5.0000000000000001E-3</v>
      </c>
      <c r="BB26" s="40">
        <v>1</v>
      </c>
      <c r="BC26" s="12">
        <v>5.0000000000000001E-3</v>
      </c>
      <c r="BD26" s="69">
        <f t="shared" si="37"/>
        <v>0.95075547488836276</v>
      </c>
      <c r="BE26" s="69">
        <f t="shared" si="33"/>
        <v>8.0460561974131761E-2</v>
      </c>
      <c r="BF26" s="127">
        <f t="shared" si="38"/>
        <v>110.08975846813658</v>
      </c>
      <c r="BG26" s="127">
        <f t="shared" si="39"/>
        <v>3.0709311155090613</v>
      </c>
      <c r="BH26" s="127">
        <f t="shared" si="40"/>
        <v>104.66844059271835</v>
      </c>
      <c r="BI26" s="127">
        <f t="shared" si="41"/>
        <v>8.3628602304035677</v>
      </c>
      <c r="BJ26" s="40"/>
    </row>
    <row r="27" spans="1:62" ht="14.25" x14ac:dyDescent="0.45">
      <c r="A27" t="s">
        <v>62</v>
      </c>
      <c r="B27" s="32">
        <f t="shared" si="34"/>
        <v>10.340131793642781</v>
      </c>
      <c r="C27" s="32">
        <f t="shared" si="35"/>
        <v>343.9373277570196</v>
      </c>
      <c r="D27" s="33"/>
      <c r="E27" s="46">
        <v>-2.5309427882969899</v>
      </c>
      <c r="G27">
        <v>82.0240939912714</v>
      </c>
      <c r="H27">
        <v>5.7738379292807904</v>
      </c>
      <c r="I27">
        <v>133783.574069286</v>
      </c>
      <c r="J27" s="2">
        <f t="shared" si="0"/>
        <v>2886.402934020939</v>
      </c>
      <c r="K27">
        <v>5657.3497506810399</v>
      </c>
      <c r="L27">
        <v>4660464.3922002697</v>
      </c>
      <c r="M27">
        <v>195253.51837980101</v>
      </c>
      <c r="N27" s="36"/>
      <c r="O27" s="37"/>
      <c r="P27" s="37"/>
      <c r="Q27" s="36"/>
      <c r="R27" s="3">
        <f t="shared" si="1"/>
        <v>0.4421882833607782</v>
      </c>
      <c r="S27" s="38">
        <f t="shared" si="2"/>
        <v>2.2458942564994089E-2</v>
      </c>
      <c r="T27" s="77">
        <v>0.10914321142479273</v>
      </c>
      <c r="U27" s="3">
        <f t="shared" si="36"/>
        <v>81.581905707910622</v>
      </c>
      <c r="V27" s="3">
        <f t="shared" si="3"/>
        <v>2.9299548076184987</v>
      </c>
      <c r="W27" s="18">
        <f t="shared" si="42"/>
        <v>5.40580258567259</v>
      </c>
      <c r="X27" s="39">
        <f t="shared" si="5"/>
        <v>1.7505102247845881E-5</v>
      </c>
      <c r="Y27" s="39">
        <f t="shared" si="6"/>
        <v>1.2187870477138567E-6</v>
      </c>
      <c r="Z27" s="38">
        <f t="shared" si="25"/>
        <v>34.835849054134499</v>
      </c>
      <c r="AA27" s="38">
        <f t="shared" si="7"/>
        <v>0.7608447611954684</v>
      </c>
      <c r="AB27" s="39">
        <f t="shared" si="8"/>
        <v>6.0980509958314961E-4</v>
      </c>
      <c r="AC27" s="39">
        <f t="shared" si="9"/>
        <v>4.2495045215218931E-5</v>
      </c>
      <c r="AD27" s="40"/>
      <c r="AE27" s="18">
        <f t="shared" si="10"/>
        <v>108.143648597854</v>
      </c>
      <c r="AF27" s="18">
        <f t="shared" si="26"/>
        <v>3.3646690132095869</v>
      </c>
      <c r="AG27" s="18">
        <f t="shared" si="11"/>
        <v>113.64382959943848</v>
      </c>
      <c r="AH27" s="18">
        <f t="shared" si="12"/>
        <v>7.9194150402480803</v>
      </c>
      <c r="AI27" s="18"/>
      <c r="AJ27" s="18">
        <f t="shared" si="13"/>
        <v>108.143648597854</v>
      </c>
      <c r="AK27" s="18">
        <f t="shared" si="27"/>
        <v>3.3646690132095869</v>
      </c>
      <c r="AL27" s="18">
        <f t="shared" si="14"/>
        <v>113.03118071202171</v>
      </c>
      <c r="AM27" s="18">
        <f t="shared" si="15"/>
        <v>7.8767218220548809</v>
      </c>
      <c r="AN27" s="42">
        <f t="shared" si="16"/>
        <v>1.0451948142820908</v>
      </c>
      <c r="AO27" s="40">
        <f t="shared" si="17"/>
        <v>7.9765506522570695E-2</v>
      </c>
      <c r="AP27" s="40"/>
      <c r="AQ27" s="40"/>
      <c r="AR27" s="40"/>
      <c r="AS27" s="40"/>
      <c r="AT27" s="40"/>
      <c r="AU27" s="40"/>
      <c r="AV27" s="40"/>
      <c r="AW27" s="126" t="e">
        <f t="shared" si="28"/>
        <v>#NUM!</v>
      </c>
      <c r="AX27" s="126" t="e">
        <f t="shared" si="29"/>
        <v>#NUM!</v>
      </c>
      <c r="AY27" s="126" t="e">
        <f t="shared" si="30"/>
        <v>#NUM!</v>
      </c>
      <c r="AZ27" s="40">
        <v>1</v>
      </c>
      <c r="BA27" s="12">
        <v>5.0000000000000001E-3</v>
      </c>
      <c r="BB27" s="40">
        <v>1</v>
      </c>
      <c r="BC27" s="12">
        <v>5.0000000000000001E-3</v>
      </c>
      <c r="BD27" s="69">
        <f t="shared" si="37"/>
        <v>1.0456166294328118</v>
      </c>
      <c r="BE27" s="69">
        <f t="shared" si="33"/>
        <v>8.0515408647611308E-2</v>
      </c>
      <c r="BF27" s="127">
        <f t="shared" si="38"/>
        <v>107.143648597854</v>
      </c>
      <c r="BG27" s="127">
        <f t="shared" si="39"/>
        <v>3.3646727282832094</v>
      </c>
      <c r="BH27" s="127">
        <f t="shared" si="40"/>
        <v>112.03118071202171</v>
      </c>
      <c r="BI27" s="127">
        <f t="shared" si="41"/>
        <v>7.8767234090093297</v>
      </c>
      <c r="BJ27" s="40"/>
    </row>
    <row r="28" spans="1:62" ht="14.25" x14ac:dyDescent="0.45">
      <c r="A28" t="s">
        <v>63</v>
      </c>
      <c r="B28" s="32">
        <f t="shared" si="34"/>
        <v>10.066245591663019</v>
      </c>
      <c r="C28" s="32">
        <f t="shared" si="35"/>
        <v>350.12796208798051</v>
      </c>
      <c r="D28" s="33"/>
      <c r="E28" s="46">
        <v>-1.4497734139096099</v>
      </c>
      <c r="G28">
        <v>72.883231037152299</v>
      </c>
      <c r="H28">
        <v>5.04325578746879</v>
      </c>
      <c r="I28">
        <v>130239.956277911</v>
      </c>
      <c r="J28" s="2">
        <f t="shared" si="0"/>
        <v>2471.8471663448677</v>
      </c>
      <c r="K28">
        <v>4844.8204460359402</v>
      </c>
      <c r="L28">
        <v>4744349.5321259899</v>
      </c>
      <c r="M28">
        <v>183920.84682643501</v>
      </c>
      <c r="N28" s="36"/>
      <c r="O28" s="37"/>
      <c r="P28" s="37"/>
      <c r="Q28" s="36"/>
      <c r="R28" s="3">
        <f t="shared" si="1"/>
        <v>0.43047573734041578</v>
      </c>
      <c r="S28" s="38">
        <f t="shared" si="2"/>
        <v>2.1492700321021699E-2</v>
      </c>
      <c r="T28" s="77">
        <v>9.5432737351714342E-2</v>
      </c>
      <c r="U28" s="3">
        <f t="shared" si="36"/>
        <v>72.452755299811884</v>
      </c>
      <c r="V28" s="3">
        <f t="shared" si="3"/>
        <v>2.5578920533410718</v>
      </c>
      <c r="W28" s="18">
        <f t="shared" si="42"/>
        <v>4.3574925113663783</v>
      </c>
      <c r="X28" s="39">
        <f t="shared" si="5"/>
        <v>1.5271378048603659E-5</v>
      </c>
      <c r="Y28" s="39">
        <f t="shared" si="6"/>
        <v>9.6685102062050754E-7</v>
      </c>
      <c r="Z28" s="38">
        <f t="shared" si="25"/>
        <v>36.427757408043931</v>
      </c>
      <c r="AA28" s="38">
        <f t="shared" si="7"/>
        <v>0.73361607001410434</v>
      </c>
      <c r="AB28" s="39">
        <f t="shared" si="8"/>
        <v>5.5630205484106143E-4</v>
      </c>
      <c r="AC28" s="39">
        <f t="shared" si="9"/>
        <v>3.5083805140705486E-5</v>
      </c>
      <c r="AD28" s="40"/>
      <c r="AE28" s="18">
        <f t="shared" si="10"/>
        <v>113.0855341065908</v>
      </c>
      <c r="AF28" s="18">
        <f t="shared" si="26"/>
        <v>3.1925972240883711</v>
      </c>
      <c r="AG28" s="18">
        <f t="shared" si="11"/>
        <v>103.72670636937642</v>
      </c>
      <c r="AH28" s="18">
        <f t="shared" si="12"/>
        <v>6.541639604746913</v>
      </c>
      <c r="AI28" s="18"/>
      <c r="AJ28" s="18">
        <f t="shared" si="13"/>
        <v>113.0855341065908</v>
      </c>
      <c r="AK28" s="18">
        <f t="shared" si="27"/>
        <v>3.1925972240883711</v>
      </c>
      <c r="AL28" s="18">
        <f t="shared" si="14"/>
        <v>103.11405748195966</v>
      </c>
      <c r="AM28" s="18">
        <f t="shared" si="15"/>
        <v>6.5030022242110093</v>
      </c>
      <c r="AN28" s="42">
        <f t="shared" si="16"/>
        <v>0.91182358819446929</v>
      </c>
      <c r="AO28" s="40">
        <f t="shared" si="17"/>
        <v>6.3004060392421901E-2</v>
      </c>
      <c r="AP28" s="40"/>
      <c r="AQ28" s="40"/>
      <c r="AR28" s="40"/>
      <c r="AS28" s="40"/>
      <c r="AT28" s="40"/>
      <c r="AU28" s="40"/>
      <c r="AV28" s="40"/>
      <c r="AW28" s="126">
        <f t="shared" si="28"/>
        <v>263.838787134445</v>
      </c>
      <c r="AX28" s="126">
        <f t="shared" si="29"/>
        <v>136.6592979166993</v>
      </c>
      <c r="AY28" s="126">
        <f t="shared" si="30"/>
        <v>58.783599549244485</v>
      </c>
      <c r="AZ28" s="40">
        <v>1</v>
      </c>
      <c r="BA28" s="12">
        <v>5.0000000000000001E-3</v>
      </c>
      <c r="BB28" s="40">
        <v>1</v>
      </c>
      <c r="BC28" s="12">
        <v>5.0000000000000001E-3</v>
      </c>
      <c r="BD28" s="69">
        <f t="shared" si="37"/>
        <v>0.91103689959537071</v>
      </c>
      <c r="BE28" s="69">
        <f t="shared" si="33"/>
        <v>6.3557043916374484E-2</v>
      </c>
      <c r="BF28" s="127">
        <f t="shared" si="38"/>
        <v>112.0855341065908</v>
      </c>
      <c r="BG28" s="127">
        <f t="shared" si="39"/>
        <v>3.1926011393935156</v>
      </c>
      <c r="BH28" s="127">
        <f t="shared" si="40"/>
        <v>102.11405748195966</v>
      </c>
      <c r="BI28" s="127">
        <f t="shared" si="41"/>
        <v>6.5030041463998263</v>
      </c>
      <c r="BJ28" s="40"/>
    </row>
    <row r="29" spans="1:62" ht="14.25" x14ac:dyDescent="0.45">
      <c r="A29" t="s">
        <v>64</v>
      </c>
      <c r="B29" s="32">
        <f t="shared" si="34"/>
        <v>8.4691510120233477</v>
      </c>
      <c r="C29" s="32">
        <f t="shared" si="35"/>
        <v>283.85817788166241</v>
      </c>
      <c r="D29" s="33"/>
      <c r="E29" s="46">
        <v>5.4916739309587097</v>
      </c>
      <c r="G29">
        <v>58.853659698110903</v>
      </c>
      <c r="H29">
        <v>4.3345890377064</v>
      </c>
      <c r="I29">
        <v>109576.291127894</v>
      </c>
      <c r="J29" s="2">
        <f t="shared" si="0"/>
        <v>2653.4345762803623</v>
      </c>
      <c r="K29">
        <v>5200.7317695095098</v>
      </c>
      <c r="L29">
        <v>3846372.0674916999</v>
      </c>
      <c r="M29">
        <v>170492.063442135</v>
      </c>
      <c r="N29" s="36"/>
      <c r="O29" s="37"/>
      <c r="P29" s="37"/>
      <c r="Q29" s="36"/>
      <c r="R29" s="3">
        <f t="shared" si="1"/>
        <v>0.36217713877034186</v>
      </c>
      <c r="S29" s="38">
        <f t="shared" si="2"/>
        <v>1.9246617459225776E-2</v>
      </c>
      <c r="T29" s="77">
        <v>8.4844709394179735E-2</v>
      </c>
      <c r="U29" s="3">
        <f t="shared" si="36"/>
        <v>58.491482559340561</v>
      </c>
      <c r="V29" s="3">
        <f t="shared" si="3"/>
        <v>2.197915605517637</v>
      </c>
      <c r="W29" s="18">
        <f t="shared" si="42"/>
        <v>3.3528773965111323</v>
      </c>
      <c r="X29" s="39">
        <f t="shared" si="5"/>
        <v>1.5206922661926485E-5</v>
      </c>
      <c r="Y29" s="39">
        <f t="shared" si="6"/>
        <v>9.3708538641933237E-7</v>
      </c>
      <c r="Z29" s="38">
        <f t="shared" si="25"/>
        <v>35.102229030569539</v>
      </c>
      <c r="AA29" s="38">
        <f t="shared" si="7"/>
        <v>0.81442075080899634</v>
      </c>
      <c r="AB29" s="39">
        <f t="shared" si="8"/>
        <v>5.3379688212910165E-4</v>
      </c>
      <c r="AC29" s="39">
        <f t="shared" si="9"/>
        <v>3.3216811277427597E-5</v>
      </c>
      <c r="AD29" s="40"/>
      <c r="AE29" s="18">
        <f t="shared" si="10"/>
        <v>108.97059277597148</v>
      </c>
      <c r="AF29" s="18">
        <f t="shared" si="26"/>
        <v>3.6848286161484798</v>
      </c>
      <c r="AG29" s="18">
        <f t="shared" si="11"/>
        <v>99.555232163110091</v>
      </c>
      <c r="AH29" s="18">
        <f t="shared" si="12"/>
        <v>6.1950668300133014</v>
      </c>
      <c r="AI29" s="18"/>
      <c r="AJ29" s="18">
        <f t="shared" si="13"/>
        <v>108.97059277597148</v>
      </c>
      <c r="AK29" s="18">
        <f t="shared" si="27"/>
        <v>3.6848286161484798</v>
      </c>
      <c r="AL29" s="18">
        <f t="shared" si="14"/>
        <v>98.942583275693323</v>
      </c>
      <c r="AM29" s="18">
        <f t="shared" si="15"/>
        <v>6.1569432606296068</v>
      </c>
      <c r="AN29" s="42">
        <f t="shared" si="16"/>
        <v>0.90797508534348925</v>
      </c>
      <c r="AO29" s="40">
        <f t="shared" si="17"/>
        <v>6.430425821139639E-2</v>
      </c>
      <c r="AP29" s="40"/>
      <c r="AQ29" s="40"/>
      <c r="AR29" s="40"/>
      <c r="AS29" s="40"/>
      <c r="AT29" s="40"/>
      <c r="AU29" s="40"/>
      <c r="AV29" s="40"/>
      <c r="AW29" s="126">
        <f t="shared" si="28"/>
        <v>259.143642469295</v>
      </c>
      <c r="AX29" s="126">
        <f t="shared" si="29"/>
        <v>130.78746620010486</v>
      </c>
      <c r="AY29" s="126">
        <f t="shared" si="30"/>
        <v>57.77402627157241</v>
      </c>
      <c r="AZ29" s="40">
        <v>1</v>
      </c>
      <c r="BA29" s="12">
        <v>5.0000000000000001E-3</v>
      </c>
      <c r="BB29" s="40">
        <v>1</v>
      </c>
      <c r="BC29" s="12">
        <v>5.0000000000000001E-3</v>
      </c>
      <c r="BD29" s="69">
        <f t="shared" si="37"/>
        <v>0.90712277072438319</v>
      </c>
      <c r="BE29" s="69">
        <f t="shared" si="33"/>
        <v>6.4885976879775611E-2</v>
      </c>
      <c r="BF29" s="127">
        <f t="shared" si="38"/>
        <v>107.97059277597148</v>
      </c>
      <c r="BG29" s="127">
        <f t="shared" si="39"/>
        <v>3.6848320084349466</v>
      </c>
      <c r="BH29" s="127">
        <f t="shared" si="40"/>
        <v>97.942583275693323</v>
      </c>
      <c r="BI29" s="127">
        <f t="shared" si="41"/>
        <v>6.1569452908574993</v>
      </c>
      <c r="BJ29" s="40"/>
    </row>
    <row r="30" spans="1:62" ht="14.25" x14ac:dyDescent="0.45">
      <c r="A30" t="s">
        <v>65</v>
      </c>
      <c r="B30" s="32">
        <f t="shared" si="34"/>
        <v>10.521675974276985</v>
      </c>
      <c r="C30" s="32">
        <f t="shared" si="35"/>
        <v>346.99919008623999</v>
      </c>
      <c r="D30" s="33"/>
      <c r="E30" s="46">
        <v>3.19444427254719</v>
      </c>
      <c r="G30">
        <v>78.272572193388399</v>
      </c>
      <c r="H30">
        <v>4.6967539779911798</v>
      </c>
      <c r="I30">
        <v>136132.444453284</v>
      </c>
      <c r="J30" s="2">
        <f t="shared" si="0"/>
        <v>3203.7166907015103</v>
      </c>
      <c r="K30">
        <v>6279.2847137749604</v>
      </c>
      <c r="L30">
        <v>4701953.6380818104</v>
      </c>
      <c r="M30">
        <v>189256.790308503</v>
      </c>
      <c r="N30" s="36"/>
      <c r="O30" s="37"/>
      <c r="P30" s="37"/>
      <c r="Q30" s="36"/>
      <c r="R30" s="3">
        <f t="shared" si="1"/>
        <v>0.4499518893950949</v>
      </c>
      <c r="S30" s="38">
        <f t="shared" si="2"/>
        <v>1.9481088186895212E-2</v>
      </c>
      <c r="T30" s="77">
        <v>8.0987622098250986E-2</v>
      </c>
      <c r="U30" s="3">
        <f t="shared" si="36"/>
        <v>77.822620303993304</v>
      </c>
      <c r="V30" s="3">
        <f t="shared" si="3"/>
        <v>2.382527840433653</v>
      </c>
      <c r="W30" s="18">
        <f t="shared" si="42"/>
        <v>4.0021028607515836</v>
      </c>
      <c r="X30" s="39">
        <f t="shared" si="5"/>
        <v>1.6551124552504413E-5</v>
      </c>
      <c r="Y30" s="39">
        <f t="shared" si="6"/>
        <v>9.1651377499252274E-7</v>
      </c>
      <c r="Z30" s="38">
        <f t="shared" si="25"/>
        <v>34.539551955928921</v>
      </c>
      <c r="AA30" s="38">
        <f t="shared" si="7"/>
        <v>0.72843561216873653</v>
      </c>
      <c r="AB30" s="39">
        <f t="shared" si="8"/>
        <v>5.7166842641027699E-4</v>
      </c>
      <c r="AC30" s="39">
        <f t="shared" si="9"/>
        <v>3.2330717844492823E-5</v>
      </c>
      <c r="AD30" s="40"/>
      <c r="AE30" s="18">
        <f t="shared" si="10"/>
        <v>107.22383036063768</v>
      </c>
      <c r="AF30" s="18">
        <f t="shared" si="26"/>
        <v>3.426455717656224</v>
      </c>
      <c r="AG30" s="18">
        <f t="shared" si="11"/>
        <v>106.57495923396444</v>
      </c>
      <c r="AH30" s="18">
        <f t="shared" si="12"/>
        <v>6.027348681679241</v>
      </c>
      <c r="AI30" s="18"/>
      <c r="AJ30" s="18">
        <f t="shared" si="13"/>
        <v>107.22383036063768</v>
      </c>
      <c r="AK30" s="18">
        <f t="shared" si="27"/>
        <v>3.426455717656224</v>
      </c>
      <c r="AL30" s="18">
        <f t="shared" si="14"/>
        <v>105.96231034654767</v>
      </c>
      <c r="AM30" s="18">
        <f t="shared" si="15"/>
        <v>5.9927003131464671</v>
      </c>
      <c r="AN30" s="42">
        <f t="shared" si="16"/>
        <v>0.98823470482403952</v>
      </c>
      <c r="AO30" s="40">
        <f t="shared" si="17"/>
        <v>6.4194668285104048E-2</v>
      </c>
      <c r="AP30" s="40"/>
      <c r="AQ30" s="40"/>
      <c r="AR30" s="40"/>
      <c r="AS30" s="40"/>
      <c r="AT30" s="40"/>
      <c r="AU30" s="40"/>
      <c r="AV30" s="40"/>
      <c r="AW30" s="126">
        <f t="shared" si="28"/>
        <v>483.42305443484042</v>
      </c>
      <c r="AX30" s="126" t="e">
        <f t="shared" si="29"/>
        <v>#NUM!</v>
      </c>
      <c r="AY30" s="126">
        <f t="shared" si="30"/>
        <v>203.37275093767937</v>
      </c>
      <c r="AZ30" s="40">
        <v>1</v>
      </c>
      <c r="BA30" s="12">
        <v>5.0000000000000001E-3</v>
      </c>
      <c r="BB30" s="40">
        <v>1</v>
      </c>
      <c r="BC30" s="12">
        <v>5.0000000000000001E-3</v>
      </c>
      <c r="BD30" s="69">
        <f t="shared" si="37"/>
        <v>0.98812394535381509</v>
      </c>
      <c r="BE30" s="69">
        <f t="shared" si="33"/>
        <v>6.4797278515790827E-2</v>
      </c>
      <c r="BF30" s="127">
        <f t="shared" si="38"/>
        <v>106.22383036063768</v>
      </c>
      <c r="BG30" s="127">
        <f t="shared" si="39"/>
        <v>3.4264593657387841</v>
      </c>
      <c r="BH30" s="127">
        <f t="shared" si="40"/>
        <v>104.96231034654767</v>
      </c>
      <c r="BI30" s="127">
        <f t="shared" si="41"/>
        <v>5.9927023990171389</v>
      </c>
      <c r="BJ30" s="40"/>
    </row>
    <row r="31" spans="1:62" ht="14.25" x14ac:dyDescent="0.45">
      <c r="A31" t="s">
        <v>66</v>
      </c>
      <c r="B31" s="32">
        <f t="shared" si="34"/>
        <v>5.9436445602341195</v>
      </c>
      <c r="C31" s="32">
        <f t="shared" si="35"/>
        <v>201.95347380082606</v>
      </c>
      <c r="D31" s="33"/>
      <c r="E31" s="46">
        <v>-3.40195217365366</v>
      </c>
      <c r="G31">
        <v>44.367927522697698</v>
      </c>
      <c r="H31">
        <v>3.8983762139440001</v>
      </c>
      <c r="I31">
        <v>76900.568400343196</v>
      </c>
      <c r="J31" s="2">
        <f t="shared" si="0"/>
        <v>1425.1841570800204</v>
      </c>
      <c r="K31">
        <v>2793.3609478768399</v>
      </c>
      <c r="L31">
        <v>2736536.2744076001</v>
      </c>
      <c r="M31">
        <v>102975.852198633</v>
      </c>
      <c r="N31" s="36"/>
      <c r="O31" s="37"/>
      <c r="P31" s="37"/>
      <c r="Q31" s="36"/>
      <c r="R31" s="3">
        <f t="shared" si="1"/>
        <v>0.2541756756536131</v>
      </c>
      <c r="S31" s="38">
        <f t="shared" si="2"/>
        <v>1.6114154337020695E-2</v>
      </c>
      <c r="T31" s="77">
        <v>8.3587916781523025E-2</v>
      </c>
      <c r="U31" s="3">
        <f t="shared" si="36"/>
        <v>44.113751847044085</v>
      </c>
      <c r="V31" s="3">
        <f t="shared" si="3"/>
        <v>1.9775730282890838</v>
      </c>
      <c r="W31" s="18">
        <f t="shared" si="42"/>
        <v>2.7294944057145418</v>
      </c>
      <c r="X31" s="39">
        <f t="shared" si="5"/>
        <v>1.6120287627685017E-5</v>
      </c>
      <c r="Y31" s="39">
        <f t="shared" si="6"/>
        <v>1.0443399894222186E-6</v>
      </c>
      <c r="Z31" s="38">
        <f t="shared" si="25"/>
        <v>35.585384234889311</v>
      </c>
      <c r="AA31" s="38">
        <f t="shared" si="7"/>
        <v>0.69542535870525146</v>
      </c>
      <c r="AB31" s="39">
        <f t="shared" si="8"/>
        <v>5.7364662920810362E-4</v>
      </c>
      <c r="AC31" s="39">
        <f t="shared" si="9"/>
        <v>3.7051788831657223E-5</v>
      </c>
      <c r="AD31" s="40"/>
      <c r="AE31" s="18">
        <f t="shared" si="10"/>
        <v>110.47048923473112</v>
      </c>
      <c r="AF31" s="18">
        <f t="shared" si="26"/>
        <v>3.0408256997441434</v>
      </c>
      <c r="AG31" s="18">
        <f t="shared" si="11"/>
        <v>106.94163146756664</v>
      </c>
      <c r="AH31" s="18">
        <f t="shared" si="12"/>
        <v>6.9073512240786537</v>
      </c>
      <c r="AI31" s="18"/>
      <c r="AJ31" s="18">
        <f t="shared" si="13"/>
        <v>110.47048923473112</v>
      </c>
      <c r="AK31" s="18">
        <f t="shared" si="27"/>
        <v>3.0408256997441434</v>
      </c>
      <c r="AL31" s="18">
        <f t="shared" si="14"/>
        <v>106.32898258014987</v>
      </c>
      <c r="AM31" s="18">
        <f t="shared" si="15"/>
        <v>6.8677802825813563</v>
      </c>
      <c r="AN31" s="42">
        <f t="shared" si="16"/>
        <v>0.96251028955089313</v>
      </c>
      <c r="AO31" s="40">
        <f t="shared" si="17"/>
        <v>6.7578543742497374E-2</v>
      </c>
      <c r="AP31" s="40"/>
      <c r="AQ31" s="40"/>
      <c r="AR31" s="40"/>
      <c r="AS31" s="40"/>
      <c r="AT31" s="40"/>
      <c r="AU31" s="40"/>
      <c r="AV31" s="40"/>
      <c r="AW31" s="126">
        <f t="shared" si="28"/>
        <v>357.07926071299215</v>
      </c>
      <c r="AX31" s="126" t="e">
        <f t="shared" si="29"/>
        <v>#NUM!</v>
      </c>
      <c r="AY31" s="126">
        <f t="shared" si="30"/>
        <v>112.37214758048839</v>
      </c>
      <c r="AZ31" s="40">
        <v>1</v>
      </c>
      <c r="BA31" s="12">
        <v>5.0000000000000001E-3</v>
      </c>
      <c r="BB31" s="40">
        <v>1</v>
      </c>
      <c r="BC31" s="12">
        <v>5.0000000000000001E-3</v>
      </c>
      <c r="BD31" s="69">
        <f t="shared" si="37"/>
        <v>0.96216782547028856</v>
      </c>
      <c r="BE31" s="69">
        <f t="shared" si="33"/>
        <v>6.8192166276728597E-2</v>
      </c>
      <c r="BF31" s="127">
        <f t="shared" si="38"/>
        <v>109.47048923473112</v>
      </c>
      <c r="BG31" s="127">
        <f t="shared" si="39"/>
        <v>3.0408298104669491</v>
      </c>
      <c r="BH31" s="127">
        <f t="shared" si="40"/>
        <v>105.32898258014987</v>
      </c>
      <c r="BI31" s="127">
        <f t="shared" si="41"/>
        <v>6.8677821026742869</v>
      </c>
      <c r="BJ31" s="40"/>
    </row>
    <row r="32" spans="1:62" ht="14.25" x14ac:dyDescent="0.45">
      <c r="A32" t="s">
        <v>67</v>
      </c>
      <c r="B32" s="32">
        <f t="shared" si="34"/>
        <v>6.8368459102934578</v>
      </c>
      <c r="C32" s="32">
        <f t="shared" si="35"/>
        <v>232.52743481330174</v>
      </c>
      <c r="D32" s="33"/>
      <c r="E32" s="46">
        <v>0.537917031742282</v>
      </c>
      <c r="G32">
        <v>49.105683359701501</v>
      </c>
      <c r="H32">
        <v>3.8874644316237799</v>
      </c>
      <c r="I32">
        <v>88457.062201313602</v>
      </c>
      <c r="J32" s="2">
        <f t="shared" si="0"/>
        <v>1292.2415343683979</v>
      </c>
      <c r="K32">
        <v>2532.79340736206</v>
      </c>
      <c r="L32">
        <v>3150823.5445809201</v>
      </c>
      <c r="M32">
        <v>84447.864155546602</v>
      </c>
      <c r="N32" s="36"/>
      <c r="O32" s="37"/>
      <c r="P32" s="37"/>
      <c r="Q32" s="36"/>
      <c r="R32" s="3">
        <f t="shared" si="1"/>
        <v>0.2923727876015576</v>
      </c>
      <c r="S32" s="38">
        <f t="shared" si="2"/>
        <v>1.6700541167838749E-2</v>
      </c>
      <c r="T32" s="77">
        <v>9.0213494370970135E-2</v>
      </c>
      <c r="U32" s="3">
        <f t="shared" si="36"/>
        <v>48.813310572099944</v>
      </c>
      <c r="V32" s="3">
        <f t="shared" si="3"/>
        <v>1.9715911543069504</v>
      </c>
      <c r="W32" s="18">
        <f t="shared" si="42"/>
        <v>2.989152514325542</v>
      </c>
      <c r="X32" s="39">
        <f t="shared" si="5"/>
        <v>1.5492238737409978E-5</v>
      </c>
      <c r="Y32" s="39">
        <f t="shared" si="6"/>
        <v>9.7205482169745465E-7</v>
      </c>
      <c r="Z32" s="38">
        <f t="shared" si="25"/>
        <v>35.619807691670431</v>
      </c>
      <c r="AA32" s="38">
        <f t="shared" si="7"/>
        <v>0.49468152018376577</v>
      </c>
      <c r="AB32" s="39">
        <f t="shared" si="8"/>
        <v>5.518305645399905E-4</v>
      </c>
      <c r="AC32" s="39">
        <f t="shared" si="9"/>
        <v>3.4740410631500092E-5</v>
      </c>
      <c r="AD32" s="40"/>
      <c r="AE32" s="18">
        <f t="shared" si="10"/>
        <v>110.5773526617679</v>
      </c>
      <c r="AF32" s="18">
        <f t="shared" si="26"/>
        <v>2.3353173702394914</v>
      </c>
      <c r="AG32" s="18">
        <f t="shared" si="11"/>
        <v>102.89788773762361</v>
      </c>
      <c r="AH32" s="18">
        <f t="shared" si="12"/>
        <v>6.4779211280167983</v>
      </c>
      <c r="AI32" s="18"/>
      <c r="AJ32" s="18">
        <f t="shared" si="13"/>
        <v>110.5773526617679</v>
      </c>
      <c r="AK32" s="18">
        <f t="shared" si="27"/>
        <v>2.3353173702394914</v>
      </c>
      <c r="AL32" s="18">
        <f t="shared" si="14"/>
        <v>102.28523885020684</v>
      </c>
      <c r="AM32" s="18">
        <f t="shared" si="15"/>
        <v>6.4393519089675921</v>
      </c>
      <c r="AN32" s="42">
        <f t="shared" si="16"/>
        <v>0.92501074033735609</v>
      </c>
      <c r="AO32" s="40">
        <f t="shared" si="17"/>
        <v>6.1423349069516249E-2</v>
      </c>
      <c r="AP32" s="40"/>
      <c r="AQ32" s="40"/>
      <c r="AR32" s="40"/>
      <c r="AS32" s="40"/>
      <c r="AT32" s="40"/>
      <c r="AU32" s="40"/>
      <c r="AV32" s="40"/>
      <c r="AW32" s="126">
        <f t="shared" si="28"/>
        <v>281.4814674138791</v>
      </c>
      <c r="AX32" s="126">
        <f t="shared" si="29"/>
        <v>186.40733063011567</v>
      </c>
      <c r="AY32" s="126">
        <f t="shared" si="30"/>
        <v>65.242442750633472</v>
      </c>
      <c r="AZ32" s="40">
        <v>1</v>
      </c>
      <c r="BA32" s="12">
        <v>5.0000000000000001E-3</v>
      </c>
      <c r="BB32" s="40">
        <v>1</v>
      </c>
      <c r="BC32" s="12">
        <v>5.0000000000000001E-3</v>
      </c>
      <c r="BD32" s="69">
        <f t="shared" si="37"/>
        <v>0.92432639035224451</v>
      </c>
      <c r="BE32" s="69">
        <f t="shared" si="33"/>
        <v>6.1979290904955762E-2</v>
      </c>
      <c r="BF32" s="127">
        <f t="shared" si="38"/>
        <v>109.5773526617679</v>
      </c>
      <c r="BG32" s="127">
        <f t="shared" si="39"/>
        <v>2.3353227228248974</v>
      </c>
      <c r="BH32" s="127">
        <f t="shared" si="40"/>
        <v>101.28523885020684</v>
      </c>
      <c r="BI32" s="127">
        <f t="shared" si="41"/>
        <v>6.4393538501564409</v>
      </c>
      <c r="BJ32" s="40"/>
    </row>
    <row r="33" spans="1:66" ht="12.5" customHeight="1" x14ac:dyDescent="0.35">
      <c r="A33"/>
      <c r="B33" s="32"/>
      <c r="C33" s="32"/>
      <c r="D33" s="33"/>
      <c r="G33"/>
      <c r="H33"/>
      <c r="I33"/>
      <c r="K33"/>
      <c r="L33"/>
      <c r="M33"/>
      <c r="N33" s="36"/>
      <c r="O33" s="36"/>
      <c r="P33" s="36"/>
      <c r="Q33" s="36"/>
      <c r="S33" s="38"/>
      <c r="W33" s="18"/>
      <c r="X33" s="39"/>
      <c r="Y33" s="39"/>
      <c r="Z33" s="38"/>
      <c r="AA33" s="38"/>
      <c r="AB33" s="39"/>
      <c r="AC33" s="39"/>
      <c r="AD33" s="40"/>
      <c r="AE33" s="18"/>
      <c r="AF33" s="18" t="e">
        <f t="shared" si="26"/>
        <v>#DIV/0!</v>
      </c>
      <c r="AG33" s="18"/>
      <c r="AH33" s="18"/>
      <c r="AI33" s="18"/>
      <c r="AJ33" s="18"/>
      <c r="AK33" s="18" t="e">
        <f t="shared" si="27"/>
        <v>#DIV/0!</v>
      </c>
      <c r="AL33" s="18"/>
      <c r="AM33" s="18"/>
      <c r="AN33" s="42"/>
      <c r="AO33" s="40"/>
      <c r="AP33" s="40"/>
      <c r="AQ33" s="40"/>
      <c r="AR33" s="40"/>
      <c r="AS33" s="40"/>
      <c r="AT33" s="40"/>
      <c r="AU33" s="40"/>
      <c r="AV33" s="40"/>
      <c r="AW33" s="126"/>
      <c r="AX33" s="126"/>
      <c r="AY33" s="126"/>
      <c r="AZ33" s="40"/>
      <c r="BB33" s="40"/>
      <c r="BD33" s="69"/>
      <c r="BE33" s="69"/>
      <c r="BF33" s="127"/>
      <c r="BG33" s="127"/>
      <c r="BH33" s="127"/>
      <c r="BI33" s="127"/>
      <c r="BJ33" s="40"/>
    </row>
    <row r="34" spans="1:66" ht="15.75" x14ac:dyDescent="0.5">
      <c r="A34" s="31"/>
      <c r="B34" s="32"/>
      <c r="C34" s="32"/>
      <c r="D34" s="33"/>
      <c r="E34" s="50"/>
      <c r="G34" s="31"/>
      <c r="H34" s="31"/>
      <c r="I34" s="31"/>
      <c r="K34" s="31"/>
      <c r="L34" s="31"/>
      <c r="M34" s="31"/>
      <c r="N34" s="37"/>
      <c r="O34" s="37"/>
      <c r="P34" s="37"/>
      <c r="Q34" s="37"/>
      <c r="S34" s="38"/>
      <c r="W34" s="18"/>
      <c r="X34" s="39"/>
      <c r="Y34" s="39"/>
      <c r="Z34" s="38"/>
      <c r="AA34" s="38"/>
      <c r="AB34" s="39"/>
      <c r="AC34" s="39"/>
      <c r="AD34" s="40"/>
      <c r="AE34" s="18"/>
      <c r="AF34" s="18" t="e">
        <f t="shared" si="26"/>
        <v>#DIV/0!</v>
      </c>
      <c r="AG34" s="18"/>
      <c r="AH34" s="18"/>
      <c r="AI34" s="18"/>
      <c r="AJ34" s="18"/>
      <c r="AK34" s="18" t="e">
        <f t="shared" si="27"/>
        <v>#DIV/0!</v>
      </c>
      <c r="AL34" s="18"/>
      <c r="AM34" s="18"/>
      <c r="AN34" s="42"/>
      <c r="AO34" s="40"/>
      <c r="AP34" s="40"/>
      <c r="AQ34" s="40"/>
      <c r="AR34" s="40"/>
      <c r="AS34" s="40"/>
      <c r="AT34" s="40"/>
      <c r="AU34" s="40"/>
      <c r="AV34" s="40"/>
      <c r="AW34" s="126"/>
      <c r="AX34" s="126"/>
      <c r="AY34" s="126"/>
      <c r="AZ34" s="40"/>
      <c r="BB34" s="40"/>
      <c r="BD34" s="69"/>
      <c r="BE34" s="69"/>
      <c r="BF34" s="127"/>
      <c r="BG34" s="127"/>
      <c r="BH34" s="127"/>
      <c r="BI34" s="127"/>
      <c r="BJ34" s="40"/>
    </row>
    <row r="35" spans="1:66" ht="14.25" x14ac:dyDescent="0.45">
      <c r="A35" t="s">
        <v>68</v>
      </c>
      <c r="B35" s="32">
        <f t="shared" si="34"/>
        <v>1342.1043414542905</v>
      </c>
      <c r="C35" s="32">
        <f t="shared" si="35"/>
        <v>2670.9987941800791</v>
      </c>
      <c r="E35" s="46">
        <v>8.5518361727945091</v>
      </c>
      <c r="G35">
        <v>634.35139639737395</v>
      </c>
      <c r="H35">
        <v>27.3019591277966</v>
      </c>
      <c r="I35">
        <v>17364528.727191899</v>
      </c>
      <c r="J35" s="2">
        <f t="shared" si="0"/>
        <v>390327.58485664183</v>
      </c>
      <c r="K35">
        <v>765042.06631901802</v>
      </c>
      <c r="L35">
        <v>36192915.881117404</v>
      </c>
      <c r="M35">
        <v>1336481.9904674201</v>
      </c>
      <c r="R35" s="3">
        <f t="shared" si="1"/>
        <v>57.39412482185071</v>
      </c>
      <c r="S35" s="38">
        <f t="shared" si="2"/>
        <v>1.7823388611711863</v>
      </c>
      <c r="T35" s="77">
        <v>0.17275605478186301</v>
      </c>
      <c r="U35" s="3">
        <f t="shared" ref="U35:U43" si="43">G35-(I35*$AT$2)</f>
        <v>576.95727157552324</v>
      </c>
      <c r="V35" s="3">
        <f t="shared" si="3"/>
        <v>12.66926708846324</v>
      </c>
      <c r="W35" s="18">
        <f>SQRT((V35/U35)^2+($W$83)^2+(T35/1.96)^2)*U35</f>
        <v>52.407908710182163</v>
      </c>
      <c r="X35" s="39">
        <f t="shared" si="5"/>
        <v>1.594116576488754E-5</v>
      </c>
      <c r="Y35" s="39">
        <f t="shared" si="6"/>
        <v>1.4788338123505183E-6</v>
      </c>
      <c r="Z35" s="38">
        <f t="shared" si="25"/>
        <v>2.0843016502049538</v>
      </c>
      <c r="AA35" s="38">
        <f t="shared" si="7"/>
        <v>4.0321632106090133E-2</v>
      </c>
      <c r="AB35" s="39">
        <f t="shared" si="8"/>
        <v>3.322619810994581E-5</v>
      </c>
      <c r="AC35" s="39">
        <f t="shared" si="9"/>
        <v>3.1091406801652944E-6</v>
      </c>
      <c r="AD35" s="40"/>
      <c r="AE35" s="18">
        <f t="shared" si="10"/>
        <v>6.4704604983623799</v>
      </c>
      <c r="AF35" s="18">
        <f t="shared" si="26"/>
        <v>0.19474391340675778</v>
      </c>
      <c r="AG35" s="18">
        <f t="shared" si="11"/>
        <v>6.7713320560323904</v>
      </c>
      <c r="AH35" s="18">
        <f t="shared" si="12"/>
        <v>0.63362723248242092</v>
      </c>
      <c r="AI35" s="18"/>
      <c r="AJ35" s="18">
        <f t="shared" si="13"/>
        <v>6.4704604983623799</v>
      </c>
      <c r="AK35" s="18">
        <f t="shared" si="27"/>
        <v>0.19474391340675778</v>
      </c>
      <c r="AL35" s="18">
        <f t="shared" si="14"/>
        <v>6.1586831686156263</v>
      </c>
      <c r="AM35" s="18">
        <f t="shared" si="15"/>
        <v>0.57629862774039087</v>
      </c>
      <c r="AN35" s="42">
        <f t="shared" si="16"/>
        <v>0.95181527963494073</v>
      </c>
      <c r="AO35" s="40">
        <f t="shared" si="17"/>
        <v>9.3559754737534556E-2</v>
      </c>
      <c r="AP35" s="40"/>
      <c r="AQ35" s="40"/>
      <c r="AR35" s="40"/>
      <c r="AS35" s="40"/>
      <c r="AT35" s="40"/>
      <c r="AU35" s="40"/>
      <c r="AV35" s="40"/>
      <c r="AW35" s="126">
        <f t="shared" si="28"/>
        <v>312.39614325719305</v>
      </c>
      <c r="AX35" s="126" t="e">
        <f t="shared" si="29"/>
        <v>#NUM!</v>
      </c>
      <c r="AY35" s="126">
        <f t="shared" si="30"/>
        <v>117.6005854174262</v>
      </c>
      <c r="AZ35" s="40">
        <v>1</v>
      </c>
      <c r="BA35" s="12">
        <v>5.0000000000000001E-3</v>
      </c>
      <c r="BB35" s="40">
        <v>1</v>
      </c>
      <c r="BC35" s="12">
        <v>5.0000000000000001E-3</v>
      </c>
      <c r="BD35" s="69">
        <f t="shared" ref="BD35:BD43" si="44">(AL35-BB35)/(AJ35-AZ35)</f>
        <v>0.94300711432975592</v>
      </c>
      <c r="BE35" s="69">
        <f t="shared" si="33"/>
        <v>0.11057400449399817</v>
      </c>
      <c r="BF35" s="127">
        <f t="shared" ref="BF35:BF43" si="45">AJ35-AZ35</f>
        <v>5.4704604983623799</v>
      </c>
      <c r="BG35" s="127">
        <f t="shared" ref="BG35:BG43" si="46">SQRT(BA35^2+AK35^2)</f>
        <v>0.19480808969079999</v>
      </c>
      <c r="BH35" s="127">
        <f t="shared" ref="BH35:BH43" si="47">AL35-BB35</f>
        <v>5.1586831686156263</v>
      </c>
      <c r="BI35" s="127">
        <f t="shared" ref="BI35:BI43" si="48">SQRT(BC35^2+AM35^2)</f>
        <v>0.576320317475844</v>
      </c>
      <c r="BJ35" s="40"/>
    </row>
    <row r="36" spans="1:66" ht="14.25" x14ac:dyDescent="0.45">
      <c r="A36" t="s">
        <v>69</v>
      </c>
      <c r="B36" s="32">
        <f t="shared" si="34"/>
        <v>2477.6666385080789</v>
      </c>
      <c r="C36" s="32">
        <f t="shared" si="35"/>
        <v>4109.2016309121063</v>
      </c>
      <c r="E36" s="46">
        <v>18.185530615147201</v>
      </c>
      <c r="G36">
        <v>1007.93294009816</v>
      </c>
      <c r="H36">
        <v>33.634307753398602</v>
      </c>
      <c r="I36">
        <v>32056757.579785999</v>
      </c>
      <c r="J36" s="2">
        <f t="shared" si="0"/>
        <v>391169.16733855405</v>
      </c>
      <c r="K36">
        <v>766691.56798356597</v>
      </c>
      <c r="L36">
        <v>55681039.351351097</v>
      </c>
      <c r="M36">
        <v>1751043.11687457</v>
      </c>
      <c r="R36" s="3">
        <f t="shared" si="1"/>
        <v>105.95562798297613</v>
      </c>
      <c r="S36" s="38">
        <f t="shared" si="2"/>
        <v>2.5511371755647856</v>
      </c>
      <c r="T36" s="77">
        <v>0.15615450604355327</v>
      </c>
      <c r="U36" s="3">
        <f t="shared" si="43"/>
        <v>901.97731211518385</v>
      </c>
      <c r="V36" s="3">
        <f t="shared" si="3"/>
        <v>15.356434702093802</v>
      </c>
      <c r="W36" s="18">
        <f t="shared" ref="W36:W43" si="49">SQRT((V36/U36)^2+($W$83)^2+(T36/1.96)^2)*U36</f>
        <v>73.483621255983167</v>
      </c>
      <c r="X36" s="39">
        <f t="shared" si="5"/>
        <v>1.6199002795613179E-5</v>
      </c>
      <c r="Y36" s="39">
        <f t="shared" si="6"/>
        <v>1.3450743723662698E-6</v>
      </c>
      <c r="Z36" s="38">
        <f t="shared" si="25"/>
        <v>1.7369516930327926</v>
      </c>
      <c r="AA36" s="38">
        <f t="shared" si="7"/>
        <v>2.8127615871323758E-2</v>
      </c>
      <c r="AB36" s="39">
        <f t="shared" si="8"/>
        <v>2.813688533128325E-5</v>
      </c>
      <c r="AC36" s="39">
        <f t="shared" si="9"/>
        <v>2.3178670772817987E-6</v>
      </c>
      <c r="AD36" s="40"/>
      <c r="AE36" s="18">
        <f t="shared" si="10"/>
        <v>5.3921548813374498</v>
      </c>
      <c r="AF36" s="18">
        <f t="shared" si="26"/>
        <v>0.11463308739932376</v>
      </c>
      <c r="AG36" s="18">
        <f t="shared" si="11"/>
        <v>5.8279961725210203</v>
      </c>
      <c r="AH36" s="18">
        <f t="shared" si="12"/>
        <v>0.48010006423105106</v>
      </c>
      <c r="AI36" s="18"/>
      <c r="AJ36" s="18">
        <f t="shared" si="13"/>
        <v>5.3921548813374498</v>
      </c>
      <c r="AK36" s="18">
        <f t="shared" si="27"/>
        <v>0.11463308739932376</v>
      </c>
      <c r="AL36" s="18">
        <f t="shared" si="14"/>
        <v>5.2153472851042562</v>
      </c>
      <c r="AM36" s="18">
        <f t="shared" si="15"/>
        <v>0.42963112748282439</v>
      </c>
      <c r="AN36" s="42">
        <f t="shared" si="16"/>
        <v>0.96721021555869346</v>
      </c>
      <c r="AO36" s="40">
        <f t="shared" si="17"/>
        <v>8.228753379820096E-2</v>
      </c>
      <c r="AP36" s="40"/>
      <c r="AQ36" s="40"/>
      <c r="AR36" s="40"/>
      <c r="AS36" s="40"/>
      <c r="AT36" s="40"/>
      <c r="AU36" s="40"/>
      <c r="AV36" s="40"/>
      <c r="AW36" s="126">
        <f t="shared" si="28"/>
        <v>350.30948504315398</v>
      </c>
      <c r="AX36" s="126" t="e">
        <f t="shared" si="29"/>
        <v>#NUM!</v>
      </c>
      <c r="AY36" s="126">
        <f t="shared" si="30"/>
        <v>136.87705782429194</v>
      </c>
      <c r="AZ36" s="40">
        <v>1</v>
      </c>
      <c r="BA36" s="12">
        <v>5.0000000000000001E-3</v>
      </c>
      <c r="BB36" s="40">
        <v>1</v>
      </c>
      <c r="BC36" s="12">
        <v>5.0000000000000001E-3</v>
      </c>
      <c r="BD36" s="69">
        <f t="shared" si="44"/>
        <v>0.95974468091176368</v>
      </c>
      <c r="BE36" s="69">
        <f t="shared" si="33"/>
        <v>0.10098646536492707</v>
      </c>
      <c r="BF36" s="127">
        <f t="shared" si="45"/>
        <v>4.3921548813374498</v>
      </c>
      <c r="BG36" s="127">
        <f t="shared" si="46"/>
        <v>0.11474207914579987</v>
      </c>
      <c r="BH36" s="127">
        <f t="shared" si="47"/>
        <v>4.2153472851042562</v>
      </c>
      <c r="BI36" s="127">
        <f t="shared" si="48"/>
        <v>0.42966022122389091</v>
      </c>
      <c r="BJ36" s="40"/>
    </row>
    <row r="37" spans="1:66" ht="14.25" x14ac:dyDescent="0.45">
      <c r="A37" t="s">
        <v>70</v>
      </c>
      <c r="B37" s="32">
        <f t="shared" si="34"/>
        <v>368.57344736645945</v>
      </c>
      <c r="C37" s="32">
        <f t="shared" si="35"/>
        <v>1541.6390005293158</v>
      </c>
      <c r="E37" s="46">
        <v>5.5073639287178704</v>
      </c>
      <c r="G37">
        <v>351.34480998148302</v>
      </c>
      <c r="H37">
        <v>18.149505765815299</v>
      </c>
      <c r="I37">
        <v>4768708.3762354497</v>
      </c>
      <c r="J37" s="2">
        <f t="shared" si="0"/>
        <v>222023.68754128061</v>
      </c>
      <c r="K37">
        <v>435166.42758090998</v>
      </c>
      <c r="L37">
        <v>20889717.654228799</v>
      </c>
      <c r="M37">
        <v>1158514.1354350599</v>
      </c>
      <c r="R37" s="3">
        <f t="shared" si="1"/>
        <v>15.761777822168597</v>
      </c>
      <c r="S37" s="38">
        <f t="shared" si="2"/>
        <v>0.58748311429976741</v>
      </c>
      <c r="T37" s="77">
        <v>0.13990148299755298</v>
      </c>
      <c r="U37" s="3">
        <f t="shared" si="43"/>
        <v>335.58303215931443</v>
      </c>
      <c r="V37" s="3">
        <f t="shared" si="3"/>
        <v>8.8445386273803805</v>
      </c>
      <c r="W37" s="18">
        <f t="shared" si="49"/>
        <v>25.534071113721982</v>
      </c>
      <c r="X37" s="39">
        <f t="shared" si="5"/>
        <v>1.6064507798236366E-5</v>
      </c>
      <c r="Y37" s="39">
        <f t="shared" si="6"/>
        <v>1.3041081774122747E-6</v>
      </c>
      <c r="Z37" s="38">
        <f t="shared" si="25"/>
        <v>4.3805819115153612</v>
      </c>
      <c r="AA37" s="38">
        <f t="shared" si="7"/>
        <v>0.13344516250732358</v>
      </c>
      <c r="AB37" s="39">
        <f t="shared" si="8"/>
        <v>7.0371892278351677E-5</v>
      </c>
      <c r="AC37" s="39">
        <f t="shared" si="9"/>
        <v>6.2773847522894854E-6</v>
      </c>
      <c r="AD37" s="40"/>
      <c r="AE37" s="18">
        <f t="shared" si="10"/>
        <v>13.598982765049266</v>
      </c>
      <c r="AF37" s="18">
        <f t="shared" si="26"/>
        <v>0.74657421679397196</v>
      </c>
      <c r="AG37" s="18">
        <f t="shared" si="11"/>
        <v>13.65651827879876</v>
      </c>
      <c r="AH37" s="18">
        <f t="shared" si="12"/>
        <v>1.2182025640806313</v>
      </c>
      <c r="AI37" s="18"/>
      <c r="AJ37" s="18">
        <f t="shared" si="13"/>
        <v>13.598982765049266</v>
      </c>
      <c r="AK37" s="18">
        <f t="shared" si="27"/>
        <v>0.74657421679397196</v>
      </c>
      <c r="AL37" s="18">
        <f t="shared" si="14"/>
        <v>13.043869391381994</v>
      </c>
      <c r="AM37" s="18">
        <f t="shared" si="15"/>
        <v>1.1635524380165889</v>
      </c>
      <c r="AN37" s="42">
        <f t="shared" si="16"/>
        <v>0.9591797869548031</v>
      </c>
      <c r="AO37" s="40">
        <f t="shared" si="17"/>
        <v>0.10046741911620145</v>
      </c>
      <c r="AP37" s="40"/>
      <c r="AQ37" s="40"/>
      <c r="AR37" s="40"/>
      <c r="AS37" s="40"/>
      <c r="AT37" s="40"/>
      <c r="AU37" s="40"/>
      <c r="AV37" s="40"/>
      <c r="AW37" s="126">
        <f t="shared" si="28"/>
        <v>340.461151189703</v>
      </c>
      <c r="AX37" s="126" t="e">
        <f t="shared" si="29"/>
        <v>#NUM!</v>
      </c>
      <c r="AY37" s="126">
        <f t="shared" si="30"/>
        <v>135.32198378219917</v>
      </c>
      <c r="AZ37" s="40">
        <v>1</v>
      </c>
      <c r="BA37" s="12">
        <v>5.0000000000000001E-3</v>
      </c>
      <c r="BB37" s="40">
        <v>1</v>
      </c>
      <c r="BC37" s="12">
        <v>5.0000000000000001E-3</v>
      </c>
      <c r="BD37" s="69">
        <f t="shared" si="44"/>
        <v>0.95593982593521698</v>
      </c>
      <c r="BE37" s="69">
        <f t="shared" si="33"/>
        <v>0.10834255407494252</v>
      </c>
      <c r="BF37" s="127">
        <f t="shared" si="45"/>
        <v>12.598982765049266</v>
      </c>
      <c r="BG37" s="127">
        <f t="shared" si="46"/>
        <v>0.74659095975074108</v>
      </c>
      <c r="BH37" s="127">
        <f t="shared" si="47"/>
        <v>12.043869391381994</v>
      </c>
      <c r="BI37" s="127">
        <f t="shared" si="48"/>
        <v>1.1635631809293159</v>
      </c>
      <c r="BJ37" s="40"/>
    </row>
    <row r="38" spans="1:66" ht="14.25" x14ac:dyDescent="0.45">
      <c r="A38" t="s">
        <v>71</v>
      </c>
      <c r="B38" s="32">
        <f t="shared" si="34"/>
        <v>232.21382810057739</v>
      </c>
      <c r="C38" s="32">
        <f t="shared" si="35"/>
        <v>1030.2096646576106</v>
      </c>
      <c r="E38" s="46">
        <v>5.2321664301716604</v>
      </c>
      <c r="G38">
        <v>241.02808422922601</v>
      </c>
      <c r="H38">
        <v>19.105231796811601</v>
      </c>
      <c r="I38">
        <v>3004448.7334973798</v>
      </c>
      <c r="J38" s="2">
        <f t="shared" si="0"/>
        <v>143747.74198543114</v>
      </c>
      <c r="K38">
        <v>281745.57429144502</v>
      </c>
      <c r="L38">
        <v>13959681.230149301</v>
      </c>
      <c r="M38">
        <v>1048446.02167596</v>
      </c>
      <c r="R38" s="3">
        <f t="shared" si="1"/>
        <v>9.9304569873625326</v>
      </c>
      <c r="S38" s="38">
        <f t="shared" si="2"/>
        <v>0.56795355654692092</v>
      </c>
      <c r="T38" s="77">
        <v>0.11277488721719478</v>
      </c>
      <c r="U38" s="3">
        <f t="shared" si="43"/>
        <v>231.09762724186348</v>
      </c>
      <c r="V38" s="3">
        <f t="shared" si="3"/>
        <v>9.3459634320378804</v>
      </c>
      <c r="W38" s="18">
        <f t="shared" si="49"/>
        <v>16.252868464672815</v>
      </c>
      <c r="X38" s="39">
        <f t="shared" si="5"/>
        <v>1.655464930981034E-5</v>
      </c>
      <c r="Y38" s="39">
        <f t="shared" si="6"/>
        <v>1.325873259688769E-6</v>
      </c>
      <c r="Z38" s="38">
        <f t="shared" si="25"/>
        <v>4.6463369717410004</v>
      </c>
      <c r="AA38" s="38">
        <f t="shared" si="7"/>
        <v>0.1886792429901912</v>
      </c>
      <c r="AB38" s="39">
        <f t="shared" si="8"/>
        <v>7.6918479142378427E-5</v>
      </c>
      <c r="AC38" s="39">
        <f t="shared" si="9"/>
        <v>6.5427343639374218E-6</v>
      </c>
      <c r="AD38" s="40"/>
      <c r="AE38" s="18">
        <f t="shared" si="10"/>
        <v>14.423986966941456</v>
      </c>
      <c r="AF38" s="18">
        <f t="shared" si="26"/>
        <v>0.88951813404401925</v>
      </c>
      <c r="AG38" s="18">
        <f t="shared" si="11"/>
        <v>14.869969008188496</v>
      </c>
      <c r="AH38" s="18">
        <f t="shared" si="12"/>
        <v>1.2648489453421476</v>
      </c>
      <c r="AI38" s="18"/>
      <c r="AJ38" s="18">
        <f t="shared" si="13"/>
        <v>14.423986966941456</v>
      </c>
      <c r="AK38" s="18">
        <f t="shared" si="27"/>
        <v>0.88951813404401925</v>
      </c>
      <c r="AL38" s="18">
        <f t="shared" si="14"/>
        <v>14.257320120771732</v>
      </c>
      <c r="AM38" s="18">
        <f t="shared" si="15"/>
        <v>1.2127366444565566</v>
      </c>
      <c r="AN38" s="42">
        <f t="shared" si="16"/>
        <v>0.98844516106734492</v>
      </c>
      <c r="AO38" s="40">
        <f t="shared" si="17"/>
        <v>0.10384989683797061</v>
      </c>
      <c r="AP38" s="40"/>
      <c r="AQ38" s="40"/>
      <c r="AR38" s="40"/>
      <c r="AS38" s="40"/>
      <c r="AT38" s="40"/>
      <c r="AU38" s="40"/>
      <c r="AV38" s="40"/>
      <c r="AW38" s="126">
        <f t="shared" si="28"/>
        <v>478.57822049585553</v>
      </c>
      <c r="AX38" s="126" t="e">
        <f t="shared" si="29"/>
        <v>#NUM!</v>
      </c>
      <c r="AY38" s="126">
        <f t="shared" si="30"/>
        <v>250.92209231428791</v>
      </c>
      <c r="AZ38" s="40">
        <v>1</v>
      </c>
      <c r="BA38" s="12">
        <v>5.0000000000000001E-3</v>
      </c>
      <c r="BB38" s="40">
        <v>1</v>
      </c>
      <c r="BC38" s="12">
        <v>5.0000000000000001E-3</v>
      </c>
      <c r="BD38" s="69">
        <f t="shared" si="44"/>
        <v>0.98758440047802742</v>
      </c>
      <c r="BE38" s="69">
        <f t="shared" si="33"/>
        <v>0.11155379980057738</v>
      </c>
      <c r="BF38" s="127">
        <f t="shared" si="45"/>
        <v>13.423986966941456</v>
      </c>
      <c r="BG38" s="127">
        <f t="shared" si="46"/>
        <v>0.88953218648520738</v>
      </c>
      <c r="BH38" s="127">
        <f t="shared" si="47"/>
        <v>13.257320120771732</v>
      </c>
      <c r="BI38" s="127">
        <f t="shared" si="48"/>
        <v>1.2127469516794296</v>
      </c>
      <c r="BJ38" s="40"/>
    </row>
    <row r="39" spans="1:66" ht="14.25" x14ac:dyDescent="0.45">
      <c r="A39" t="s">
        <v>72</v>
      </c>
      <c r="B39" s="32">
        <f t="shared" si="34"/>
        <v>987.14669054241233</v>
      </c>
      <c r="C39" s="32">
        <f t="shared" si="35"/>
        <v>1908.7128224754001</v>
      </c>
      <c r="D39" s="33"/>
      <c r="E39" s="46">
        <v>6.2753108517909597</v>
      </c>
      <c r="G39">
        <v>464.45283073981602</v>
      </c>
      <c r="H39">
        <v>22.978133485038601</v>
      </c>
      <c r="I39">
        <v>12771985.4086024</v>
      </c>
      <c r="J39" s="2">
        <f t="shared" si="0"/>
        <v>314959.87618107756</v>
      </c>
      <c r="K39">
        <v>617321.35731491202</v>
      </c>
      <c r="L39">
        <v>25863689.1845803</v>
      </c>
      <c r="M39">
        <v>930443.957305138</v>
      </c>
      <c r="N39" s="36"/>
      <c r="O39" s="36"/>
      <c r="P39" s="36"/>
      <c r="Q39" s="36"/>
      <c r="R39" s="3">
        <f t="shared" si="1"/>
        <v>42.214616721286916</v>
      </c>
      <c r="S39" s="38">
        <f t="shared" si="2"/>
        <v>1.5069363566629104</v>
      </c>
      <c r="T39" s="77">
        <v>9.3624501217058384E-2</v>
      </c>
      <c r="U39" s="3">
        <f t="shared" si="43"/>
        <v>422.23821401852911</v>
      </c>
      <c r="V39" s="3">
        <f t="shared" si="3"/>
        <v>10.657972575753739</v>
      </c>
      <c r="W39" s="18">
        <f t="shared" si="49"/>
        <v>22.812131285779433</v>
      </c>
      <c r="X39" s="39">
        <f t="shared" si="5"/>
        <v>1.632552150643164E-5</v>
      </c>
      <c r="Y39" s="39">
        <f t="shared" si="6"/>
        <v>9.3152403912929064E-7</v>
      </c>
      <c r="Z39" s="38">
        <f t="shared" si="25"/>
        <v>2.025032785205044</v>
      </c>
      <c r="AA39" s="38">
        <f t="shared" si="7"/>
        <v>3.8400035169551983E-2</v>
      </c>
      <c r="AB39" s="39">
        <f t="shared" si="8"/>
        <v>3.3059716286094114E-5</v>
      </c>
      <c r="AC39" s="39">
        <f t="shared" si="9"/>
        <v>1.9633711148586252E-6</v>
      </c>
      <c r="AD39" s="40"/>
      <c r="AE39" s="18">
        <f t="shared" si="10"/>
        <v>6.2864675289536676</v>
      </c>
      <c r="AF39" s="18">
        <f t="shared" si="26"/>
        <v>0.19786276654365176</v>
      </c>
      <c r="AG39" s="18">
        <f t="shared" si="11"/>
        <v>6.7404736110474079</v>
      </c>
      <c r="AH39" s="18">
        <f t="shared" si="12"/>
        <v>0.4003074640408793</v>
      </c>
      <c r="AI39" s="18"/>
      <c r="AJ39" s="18">
        <f t="shared" si="13"/>
        <v>6.2864675289536676</v>
      </c>
      <c r="AK39" s="18">
        <f t="shared" si="27"/>
        <v>0.19786276654365176</v>
      </c>
      <c r="AL39" s="18">
        <f t="shared" si="14"/>
        <v>6.1278247236306438</v>
      </c>
      <c r="AM39" s="18">
        <f t="shared" si="15"/>
        <v>0.36392308860658967</v>
      </c>
      <c r="AN39" s="42">
        <f t="shared" si="16"/>
        <v>0.97476439596763043</v>
      </c>
      <c r="AO39" s="40">
        <f t="shared" si="17"/>
        <v>6.5517267701249854E-2</v>
      </c>
      <c r="AP39" s="40"/>
      <c r="AQ39" s="40"/>
      <c r="AR39" s="40"/>
      <c r="AS39" s="40"/>
      <c r="AT39" s="40"/>
      <c r="AU39" s="40"/>
      <c r="AV39" s="40"/>
      <c r="AW39" s="126">
        <f t="shared" si="28"/>
        <v>382.34015269192719</v>
      </c>
      <c r="AX39" s="126" t="e">
        <f t="shared" si="29"/>
        <v>#NUM!</v>
      </c>
      <c r="AY39" s="126">
        <f t="shared" si="30"/>
        <v>139.49224280704277</v>
      </c>
      <c r="AZ39" s="40">
        <v>1</v>
      </c>
      <c r="BA39" s="12">
        <v>5.0000000000000001E-3</v>
      </c>
      <c r="BB39" s="40">
        <v>1</v>
      </c>
      <c r="BC39" s="12">
        <v>5.0000000000000001E-3</v>
      </c>
      <c r="BD39" s="69">
        <f t="shared" si="44"/>
        <v>0.9699907727695013</v>
      </c>
      <c r="BE39" s="69">
        <f t="shared" si="33"/>
        <v>7.7838308268523004E-2</v>
      </c>
      <c r="BF39" s="127">
        <f t="shared" si="45"/>
        <v>5.2864675289536676</v>
      </c>
      <c r="BG39" s="127">
        <f t="shared" si="46"/>
        <v>0.1979259315610454</v>
      </c>
      <c r="BH39" s="127">
        <f t="shared" si="47"/>
        <v>5.1278247236306438</v>
      </c>
      <c r="BI39" s="127">
        <f t="shared" si="48"/>
        <v>0.36395743490270904</v>
      </c>
      <c r="BJ39" s="40"/>
    </row>
    <row r="40" spans="1:66" s="1" customFormat="1" ht="14.25" x14ac:dyDescent="0.45">
      <c r="A40" t="s">
        <v>73</v>
      </c>
      <c r="B40" s="32">
        <f t="shared" si="34"/>
        <v>1535.6367319896083</v>
      </c>
      <c r="C40" s="32">
        <f t="shared" si="35"/>
        <v>2854.2754297222473</v>
      </c>
      <c r="D40" s="33"/>
      <c r="E40" s="46">
        <v>11.868085129029801</v>
      </c>
      <c r="F40" s="2"/>
      <c r="G40">
        <v>693.68860010432695</v>
      </c>
      <c r="H40">
        <v>20.507135987445999</v>
      </c>
      <c r="I40">
        <v>19868505.989832401</v>
      </c>
      <c r="J40" s="2">
        <f t="shared" si="0"/>
        <v>366577.03907142091</v>
      </c>
      <c r="K40">
        <v>718490.99657998502</v>
      </c>
      <c r="L40">
        <v>38676374.8282369</v>
      </c>
      <c r="M40">
        <v>958150.00541005202</v>
      </c>
      <c r="N40" s="36"/>
      <c r="O40" s="36"/>
      <c r="P40" s="36"/>
      <c r="Q40" s="36"/>
      <c r="R40" s="3">
        <f t="shared" si="1"/>
        <v>65.670398011921179</v>
      </c>
      <c r="S40" s="38">
        <f t="shared" si="2"/>
        <v>1.4007770855531041</v>
      </c>
      <c r="T40" s="77">
        <v>8.8971258382863502E-2</v>
      </c>
      <c r="U40" s="3">
        <f t="shared" si="43"/>
        <v>628.01820209240577</v>
      </c>
      <c r="V40" s="3">
        <f t="shared" si="3"/>
        <v>9.4723255072654862</v>
      </c>
      <c r="W40" s="18">
        <f t="shared" si="49"/>
        <v>30.040436193810127</v>
      </c>
      <c r="X40" s="39">
        <f t="shared" si="5"/>
        <v>1.6237773185347799E-5</v>
      </c>
      <c r="Y40" s="39">
        <f t="shared" si="6"/>
        <v>8.0337134301960386E-7</v>
      </c>
      <c r="Z40" s="38">
        <f t="shared" si="25"/>
        <v>1.9466171662846377</v>
      </c>
      <c r="AA40" s="38">
        <f t="shared" si="7"/>
        <v>2.5267013103353459E-2</v>
      </c>
      <c r="AB40" s="39">
        <f t="shared" si="8"/>
        <v>3.1608728024834407E-5</v>
      </c>
      <c r="AC40" s="39">
        <f t="shared" si="9"/>
        <v>1.6205358705694324E-6</v>
      </c>
      <c r="AD40" s="40"/>
      <c r="AE40" s="18">
        <f t="shared" si="10"/>
        <v>6.0430357950540969</v>
      </c>
      <c r="AF40" s="18">
        <f t="shared" si="26"/>
        <v>0.14117812422741824</v>
      </c>
      <c r="AG40" s="18">
        <f t="shared" si="11"/>
        <v>6.4715238818936518</v>
      </c>
      <c r="AH40" s="18">
        <f t="shared" si="12"/>
        <v>0.33178609970055395</v>
      </c>
      <c r="AI40" s="18"/>
      <c r="AJ40" s="18">
        <f t="shared" si="13"/>
        <v>6.0430357950540969</v>
      </c>
      <c r="AK40" s="18">
        <f t="shared" si="27"/>
        <v>0.14117812422741824</v>
      </c>
      <c r="AL40" s="18">
        <f t="shared" si="14"/>
        <v>5.8588749944768868</v>
      </c>
      <c r="AM40" s="18">
        <f t="shared" si="15"/>
        <v>0.30037643660549734</v>
      </c>
      <c r="AN40" s="42">
        <f t="shared" si="16"/>
        <v>0.96952511836386346</v>
      </c>
      <c r="AO40" s="40">
        <f t="shared" si="17"/>
        <v>5.462359960986813E-2</v>
      </c>
      <c r="AP40" s="40"/>
      <c r="AQ40" s="40"/>
      <c r="AR40" s="40"/>
      <c r="AS40" s="40"/>
      <c r="AT40" s="40"/>
      <c r="AU40" s="40"/>
      <c r="AV40" s="40"/>
      <c r="AW40" s="126">
        <f t="shared" si="28"/>
        <v>360.93497932203957</v>
      </c>
      <c r="AX40" s="126" t="e">
        <f t="shared" si="29"/>
        <v>#NUM!</v>
      </c>
      <c r="AY40" s="126">
        <f t="shared" si="30"/>
        <v>111.91998773560226</v>
      </c>
      <c r="AZ40" s="40">
        <v>1</v>
      </c>
      <c r="BA40" s="12">
        <v>5.0000000000000001E-3</v>
      </c>
      <c r="BB40" s="40">
        <v>1</v>
      </c>
      <c r="BC40" s="12">
        <v>5.0000000000000001E-3</v>
      </c>
      <c r="BD40" s="69">
        <f t="shared" si="44"/>
        <v>0.9634821547850555</v>
      </c>
      <c r="BE40" s="69">
        <f t="shared" si="33"/>
        <v>6.5399617703204224E-2</v>
      </c>
      <c r="BF40" s="127">
        <f t="shared" si="45"/>
        <v>5.0430357950540969</v>
      </c>
      <c r="BG40" s="127">
        <f t="shared" si="46"/>
        <v>0.14126663711001383</v>
      </c>
      <c r="BH40" s="127">
        <f t="shared" si="47"/>
        <v>4.8588749944768868</v>
      </c>
      <c r="BI40" s="127">
        <f t="shared" si="48"/>
        <v>0.30041804817256962</v>
      </c>
      <c r="BJ40" s="40"/>
      <c r="BK40" s="12"/>
      <c r="BL40" s="40"/>
      <c r="BM40" s="40"/>
      <c r="BN40" s="12"/>
    </row>
    <row r="41" spans="1:66" ht="14.25" x14ac:dyDescent="0.45">
      <c r="A41" t="s">
        <v>74</v>
      </c>
      <c r="B41" s="32">
        <f t="shared" si="34"/>
        <v>1891.5823842338946</v>
      </c>
      <c r="C41" s="32">
        <f t="shared" si="35"/>
        <v>3320.9215658382345</v>
      </c>
      <c r="D41" s="33"/>
      <c r="E41" s="46">
        <v>8.5291333441869295</v>
      </c>
      <c r="G41">
        <v>830.57147620056605</v>
      </c>
      <c r="H41">
        <v>25.4759305411425</v>
      </c>
      <c r="I41">
        <v>24473832.351430699</v>
      </c>
      <c r="J41" s="2">
        <f t="shared" si="0"/>
        <v>287653.73494390462</v>
      </c>
      <c r="K41">
        <v>563801.32049005304</v>
      </c>
      <c r="L41">
        <v>44999584.103918701</v>
      </c>
      <c r="M41">
        <v>1445755.1972198901</v>
      </c>
      <c r="N41" s="36"/>
      <c r="O41" s="36"/>
      <c r="P41" s="36"/>
      <c r="Q41" s="36"/>
      <c r="R41" s="3">
        <f t="shared" si="1"/>
        <v>80.892157277349611</v>
      </c>
      <c r="S41" s="38">
        <f t="shared" si="2"/>
        <v>1.7902693969843115</v>
      </c>
      <c r="T41" s="77">
        <v>9.2835403346782946E-2</v>
      </c>
      <c r="U41" s="3">
        <f t="shared" si="43"/>
        <v>749.67931892321644</v>
      </c>
      <c r="V41" s="3">
        <f t="shared" si="3"/>
        <v>11.732012114722508</v>
      </c>
      <c r="W41" s="18">
        <f t="shared" si="49"/>
        <v>37.396498489244166</v>
      </c>
      <c r="X41" s="39">
        <f t="shared" si="5"/>
        <v>1.6659694391662881E-5</v>
      </c>
      <c r="Y41" s="39">
        <f t="shared" si="6"/>
        <v>8.7475957481613411E-7</v>
      </c>
      <c r="Z41" s="38">
        <f t="shared" si="25"/>
        <v>1.838681554149328</v>
      </c>
      <c r="AA41" s="38">
        <f t="shared" si="7"/>
        <v>3.0393551465331937E-2</v>
      </c>
      <c r="AB41" s="39">
        <f t="shared" si="8"/>
        <v>3.0631872775715549E-5</v>
      </c>
      <c r="AC41" s="39">
        <f t="shared" si="9"/>
        <v>1.5698622863771926E-6</v>
      </c>
      <c r="AD41" s="40"/>
      <c r="AE41" s="18">
        <f t="shared" si="10"/>
        <v>5.7079628392660471</v>
      </c>
      <c r="AF41" s="18">
        <f t="shared" si="26"/>
        <v>0.12141507462891404</v>
      </c>
      <c r="AG41" s="18">
        <f t="shared" si="11"/>
        <v>6.2904576653793614</v>
      </c>
      <c r="AH41" s="18">
        <f t="shared" si="12"/>
        <v>0.32238160315030567</v>
      </c>
      <c r="AI41" s="18"/>
      <c r="AJ41" s="18">
        <f t="shared" si="13"/>
        <v>5.7079628392660471</v>
      </c>
      <c r="AK41" s="18">
        <f t="shared" si="27"/>
        <v>0.12141507462891404</v>
      </c>
      <c r="AL41" s="18">
        <f t="shared" si="14"/>
        <v>5.6778087779625972</v>
      </c>
      <c r="AM41" s="18">
        <f t="shared" si="15"/>
        <v>0.29098377154567051</v>
      </c>
      <c r="AN41" s="42">
        <f t="shared" si="16"/>
        <v>0.99471719383034263</v>
      </c>
      <c r="AO41" s="40">
        <f t="shared" si="17"/>
        <v>5.5195193125648391E-2</v>
      </c>
      <c r="AP41" s="40"/>
      <c r="AQ41" s="40"/>
      <c r="AR41" s="40"/>
      <c r="AS41" s="40"/>
      <c r="AT41" s="40"/>
      <c r="AU41" s="40"/>
      <c r="AV41" s="40"/>
      <c r="AW41" s="126">
        <f t="shared" si="28"/>
        <v>550.7541527591834</v>
      </c>
      <c r="AX41" s="126" t="e">
        <f t="shared" si="29"/>
        <v>#NUM!</v>
      </c>
      <c r="AY41" s="126">
        <f t="shared" si="30"/>
        <v>265.8414929151304</v>
      </c>
      <c r="AZ41" s="40">
        <v>1</v>
      </c>
      <c r="BA41" s="12">
        <v>5.0000000000000001E-3</v>
      </c>
      <c r="BB41" s="40">
        <v>1</v>
      </c>
      <c r="BC41" s="12">
        <v>5.0000000000000001E-3</v>
      </c>
      <c r="BD41" s="69">
        <f t="shared" si="44"/>
        <v>0.99359509360355303</v>
      </c>
      <c r="BE41" s="69">
        <f t="shared" si="33"/>
        <v>6.6924648475417819E-2</v>
      </c>
      <c r="BF41" s="127">
        <f t="shared" si="45"/>
        <v>4.7079628392660471</v>
      </c>
      <c r="BG41" s="127">
        <f t="shared" si="46"/>
        <v>0.12151798363676369</v>
      </c>
      <c r="BH41" s="127">
        <f t="shared" si="47"/>
        <v>4.6778087779625972</v>
      </c>
      <c r="BI41" s="127">
        <f t="shared" si="48"/>
        <v>0.2910267260973517</v>
      </c>
      <c r="BJ41" s="40"/>
    </row>
    <row r="42" spans="1:66" ht="14.25" x14ac:dyDescent="0.45">
      <c r="A42" t="s">
        <v>75</v>
      </c>
      <c r="B42" s="32">
        <f t="shared" si="34"/>
        <v>1419.6674453787878</v>
      </c>
      <c r="C42" s="32">
        <f t="shared" si="35"/>
        <v>2338.1696054390213</v>
      </c>
      <c r="D42" s="33"/>
      <c r="E42" s="46">
        <v>10.4462965522548</v>
      </c>
      <c r="G42">
        <v>582.38158642807298</v>
      </c>
      <c r="H42">
        <v>18.628503107784301</v>
      </c>
      <c r="I42">
        <v>18368062.286145799</v>
      </c>
      <c r="J42" s="2">
        <f t="shared" si="0"/>
        <v>265648.38954945561</v>
      </c>
      <c r="K42">
        <v>520670.84351693298</v>
      </c>
      <c r="L42">
        <v>31682970.441556301</v>
      </c>
      <c r="M42">
        <v>963749.77029069199</v>
      </c>
      <c r="N42" s="36"/>
      <c r="O42" s="36"/>
      <c r="P42" s="36"/>
      <c r="Q42" s="36"/>
      <c r="R42" s="3">
        <f t="shared" si="1"/>
        <v>60.711055056491773</v>
      </c>
      <c r="S42" s="38">
        <f t="shared" si="2"/>
        <v>1.4011900032393261</v>
      </c>
      <c r="T42" s="77">
        <v>6.6274269222809976E-2</v>
      </c>
      <c r="U42" s="3">
        <f t="shared" si="43"/>
        <v>521.67053137158121</v>
      </c>
      <c r="V42" s="3">
        <f t="shared" si="3"/>
        <v>8.5135473672767858</v>
      </c>
      <c r="W42" s="18">
        <f t="shared" si="49"/>
        <v>19.586497579255113</v>
      </c>
      <c r="X42" s="39">
        <f t="shared" si="5"/>
        <v>1.6465328979613068E-5</v>
      </c>
      <c r="Y42" s="39">
        <f t="shared" si="6"/>
        <v>6.6893453183516609E-7</v>
      </c>
      <c r="Z42" s="38">
        <f t="shared" si="25"/>
        <v>1.7248945451068802</v>
      </c>
      <c r="AA42" s="38">
        <f t="shared" si="7"/>
        <v>2.7130570823230945E-2</v>
      </c>
      <c r="AB42" s="39">
        <f t="shared" si="8"/>
        <v>2.8400956140324815E-5</v>
      </c>
      <c r="AC42" s="39">
        <f t="shared" si="9"/>
        <v>1.1427091160841118E-6</v>
      </c>
      <c r="AD42" s="40"/>
      <c r="AE42" s="18">
        <f t="shared" si="10"/>
        <v>5.3547249347796386</v>
      </c>
      <c r="AF42" s="18">
        <f t="shared" si="26"/>
        <v>0.11921287443839018</v>
      </c>
      <c r="AG42" s="18">
        <f t="shared" si="11"/>
        <v>5.8769433449174979</v>
      </c>
      <c r="AH42" s="18">
        <f t="shared" si="12"/>
        <v>0.23645812140148154</v>
      </c>
      <c r="AI42" s="18"/>
      <c r="AJ42" s="18">
        <f t="shared" si="13"/>
        <v>5.3547249347796386</v>
      </c>
      <c r="AK42" s="18">
        <f t="shared" si="27"/>
        <v>0.11921287443839018</v>
      </c>
      <c r="AL42" s="18">
        <f t="shared" si="14"/>
        <v>5.2642944575007329</v>
      </c>
      <c r="AM42" s="18">
        <f t="shared" si="15"/>
        <v>0.21180826577158868</v>
      </c>
      <c r="AN42" s="42">
        <f t="shared" si="16"/>
        <v>0.98311202192823244</v>
      </c>
      <c r="AO42" s="40">
        <f t="shared" si="17"/>
        <v>4.5207037312493772E-2</v>
      </c>
      <c r="AP42" s="40"/>
      <c r="AQ42" s="40"/>
      <c r="AR42" s="40"/>
      <c r="AS42" s="40"/>
      <c r="AT42" s="40"/>
      <c r="AU42" s="40"/>
      <c r="AV42" s="40"/>
      <c r="AW42" s="126">
        <f t="shared" si="28"/>
        <v>422.48900036918656</v>
      </c>
      <c r="AX42" s="126" t="e">
        <f t="shared" si="29"/>
        <v>#NUM!</v>
      </c>
      <c r="AY42" s="126">
        <f t="shared" si="30"/>
        <v>141.94383234831736</v>
      </c>
      <c r="AZ42" s="40">
        <v>1</v>
      </c>
      <c r="BA42" s="12">
        <v>5.0000000000000001E-3</v>
      </c>
      <c r="BB42" s="40">
        <v>1</v>
      </c>
      <c r="BC42" s="12">
        <v>5.0000000000000001E-3</v>
      </c>
      <c r="BD42" s="69">
        <f t="shared" si="44"/>
        <v>0.97923394045932277</v>
      </c>
      <c r="BE42" s="69">
        <f t="shared" si="33"/>
        <v>5.5560106487224738E-2</v>
      </c>
      <c r="BF42" s="127">
        <f t="shared" si="45"/>
        <v>4.3547249347796386</v>
      </c>
      <c r="BG42" s="127">
        <f t="shared" si="46"/>
        <v>0.11931768281299877</v>
      </c>
      <c r="BH42" s="127">
        <f t="shared" si="47"/>
        <v>4.2642944575007329</v>
      </c>
      <c r="BI42" s="127">
        <f t="shared" si="48"/>
        <v>0.21186727319047635</v>
      </c>
      <c r="BJ42" s="40"/>
    </row>
    <row r="43" spans="1:66" ht="14.25" x14ac:dyDescent="0.45">
      <c r="A43" t="s">
        <v>76</v>
      </c>
      <c r="B43" s="32">
        <f t="shared" si="34"/>
        <v>2227.9923345159937</v>
      </c>
      <c r="C43" s="32">
        <f t="shared" si="35"/>
        <v>3817.4359115889383</v>
      </c>
      <c r="D43" s="33"/>
      <c r="E43" s="46">
        <v>23.061736519409902</v>
      </c>
      <c r="G43">
        <v>921.77421884188504</v>
      </c>
      <c r="H43">
        <v>29.4682309429827</v>
      </c>
      <c r="I43">
        <v>28826400.2296158</v>
      </c>
      <c r="J43" s="2">
        <f t="shared" si="0"/>
        <v>394573.87804918573</v>
      </c>
      <c r="K43">
        <v>773364.80097640399</v>
      </c>
      <c r="L43">
        <v>51727517.485498399</v>
      </c>
      <c r="M43">
        <v>1463027.2718855799</v>
      </c>
      <c r="N43" s="36"/>
      <c r="O43" s="36"/>
      <c r="P43" s="36"/>
      <c r="Q43" s="36"/>
      <c r="R43" s="3">
        <f t="shared" si="1"/>
        <v>95.278486328995086</v>
      </c>
      <c r="S43" s="38">
        <f t="shared" si="2"/>
        <v>2.1977752740564367</v>
      </c>
      <c r="T43" s="77">
        <v>9.0043121900728953E-2</v>
      </c>
      <c r="U43" s="3">
        <f t="shared" si="43"/>
        <v>826.49573251288996</v>
      </c>
      <c r="V43" s="3">
        <f t="shared" si="3"/>
        <v>13.48074990579399</v>
      </c>
      <c r="W43" s="18">
        <f t="shared" si="49"/>
        <v>40.291623730040385</v>
      </c>
      <c r="X43" s="39">
        <f t="shared" si="5"/>
        <v>1.5977873532102033E-5</v>
      </c>
      <c r="Y43" s="39">
        <f t="shared" si="6"/>
        <v>8.1232840606100931E-7</v>
      </c>
      <c r="Z43" s="38">
        <f t="shared" si="25"/>
        <v>1.7944494308503476</v>
      </c>
      <c r="AA43" s="38">
        <f t="shared" si="7"/>
        <v>2.6230612357730713E-2</v>
      </c>
      <c r="AB43" s="39">
        <f t="shared" si="8"/>
        <v>2.8671486065879326E-5</v>
      </c>
      <c r="AC43" s="39">
        <f t="shared" si="9"/>
        <v>1.451784583027726E-6</v>
      </c>
      <c r="AD43" s="40"/>
      <c r="AE43" s="18">
        <f t="shared" si="10"/>
        <v>5.5706496022225487</v>
      </c>
      <c r="AF43" s="18">
        <f t="shared" si="26"/>
        <v>0.117012099142388</v>
      </c>
      <c r="AG43" s="18">
        <f t="shared" si="11"/>
        <v>5.9270877548679302</v>
      </c>
      <c r="AH43" s="18">
        <f t="shared" si="12"/>
        <v>0.30011889181460799</v>
      </c>
      <c r="AI43" s="18"/>
      <c r="AJ43" s="18">
        <f t="shared" si="13"/>
        <v>5.5706496022225487</v>
      </c>
      <c r="AK43" s="18">
        <f t="shared" si="27"/>
        <v>0.117012099142388</v>
      </c>
      <c r="AL43" s="18">
        <f t="shared" si="14"/>
        <v>5.3144388674511651</v>
      </c>
      <c r="AM43" s="18">
        <f t="shared" si="15"/>
        <v>0.26909733236292599</v>
      </c>
      <c r="AN43" s="42">
        <f t="shared" si="16"/>
        <v>0.95400702735473397</v>
      </c>
      <c r="AO43" s="40">
        <f t="shared" si="17"/>
        <v>5.2297787559717791E-2</v>
      </c>
      <c r="AP43" s="40"/>
      <c r="AQ43" s="40"/>
      <c r="AR43" s="40"/>
      <c r="AS43" s="40"/>
      <c r="AT43" s="40"/>
      <c r="AU43" s="40"/>
      <c r="AV43" s="40"/>
      <c r="AW43" s="126">
        <f t="shared" si="28"/>
        <v>314.20427786291521</v>
      </c>
      <c r="AX43" s="126" t="e">
        <f t="shared" si="29"/>
        <v>#NUM!</v>
      </c>
      <c r="AY43" s="126">
        <f t="shared" si="30"/>
        <v>82.740232889914267</v>
      </c>
      <c r="AZ43" s="40">
        <v>1</v>
      </c>
      <c r="BA43" s="12">
        <v>5.0000000000000001E-3</v>
      </c>
      <c r="BB43" s="40">
        <v>1</v>
      </c>
      <c r="BC43" s="12">
        <v>5.0000000000000001E-3</v>
      </c>
      <c r="BD43" s="69">
        <f t="shared" si="44"/>
        <v>0.94394434991323839</v>
      </c>
      <c r="BE43" s="69">
        <f t="shared" si="33"/>
        <v>6.3659390204663283E-2</v>
      </c>
      <c r="BF43" s="127">
        <f t="shared" si="45"/>
        <v>4.5706496022225487</v>
      </c>
      <c r="BG43" s="127">
        <f t="shared" si="46"/>
        <v>0.11711887698278206</v>
      </c>
      <c r="BH43" s="127">
        <f t="shared" si="47"/>
        <v>4.3144388674511651</v>
      </c>
      <c r="BI43" s="127">
        <f t="shared" si="48"/>
        <v>0.26914377994827049</v>
      </c>
      <c r="BJ43" s="40"/>
    </row>
    <row r="44" spans="1:66" ht="13.5" x14ac:dyDescent="0.35">
      <c r="A44"/>
      <c r="B44" s="32"/>
      <c r="C44" s="32"/>
      <c r="D44" s="33"/>
      <c r="G44"/>
      <c r="H44"/>
      <c r="I44"/>
      <c r="K44"/>
      <c r="L44"/>
      <c r="M44"/>
      <c r="N44" s="36"/>
      <c r="O44" s="36"/>
      <c r="P44" s="36"/>
      <c r="Q44" s="36"/>
      <c r="S44" s="38"/>
      <c r="W44" s="18"/>
      <c r="X44" s="39"/>
      <c r="Y44" s="39"/>
      <c r="Z44" s="38"/>
      <c r="AA44" s="38"/>
      <c r="AB44" s="39"/>
      <c r="AC44" s="39"/>
      <c r="AD44" s="40"/>
      <c r="AE44" s="18"/>
      <c r="AF44" s="18" t="e">
        <f t="shared" si="26"/>
        <v>#DIV/0!</v>
      </c>
      <c r="AG44" s="18"/>
      <c r="AH44" s="18"/>
      <c r="AI44" s="18"/>
      <c r="AJ44" s="18"/>
      <c r="AK44" s="18" t="e">
        <f t="shared" si="27"/>
        <v>#DIV/0!</v>
      </c>
      <c r="AL44" s="18"/>
      <c r="AM44" s="18"/>
      <c r="AN44" s="42"/>
      <c r="AO44" s="40"/>
      <c r="AP44" s="40"/>
      <c r="AQ44" s="40"/>
      <c r="AR44" s="40"/>
      <c r="AS44" s="40"/>
      <c r="AT44" s="40"/>
      <c r="AU44" s="40"/>
      <c r="AV44" s="40"/>
      <c r="AW44" s="126"/>
      <c r="AX44" s="126"/>
      <c r="AY44" s="126"/>
      <c r="AZ44" s="40"/>
      <c r="BB44" s="40"/>
      <c r="BD44" s="69"/>
      <c r="BE44" s="69"/>
      <c r="BF44" s="127"/>
      <c r="BG44" s="127"/>
      <c r="BH44" s="127"/>
      <c r="BI44" s="127"/>
      <c r="BJ44" s="40"/>
      <c r="BL44" s="40"/>
      <c r="BM44" s="40"/>
    </row>
    <row r="45" spans="1:66" ht="15.75" x14ac:dyDescent="0.5">
      <c r="A45" s="31"/>
      <c r="B45" s="32"/>
      <c r="C45" s="32"/>
      <c r="D45" s="33"/>
      <c r="E45" s="50"/>
      <c r="G45" s="31"/>
      <c r="H45" s="31"/>
      <c r="I45" s="31"/>
      <c r="K45" s="31"/>
      <c r="L45" s="31"/>
      <c r="M45" s="31"/>
      <c r="N45" s="36"/>
      <c r="O45" s="36"/>
      <c r="P45" s="36"/>
      <c r="Q45" s="36"/>
      <c r="S45" s="38"/>
      <c r="W45" s="18"/>
      <c r="X45" s="39"/>
      <c r="Y45" s="39"/>
      <c r="Z45" s="38"/>
      <c r="AA45" s="38"/>
      <c r="AB45" s="39"/>
      <c r="AC45" s="39"/>
      <c r="AD45" s="40"/>
      <c r="AE45" s="18"/>
      <c r="AF45" s="18" t="e">
        <f t="shared" si="26"/>
        <v>#DIV/0!</v>
      </c>
      <c r="AG45" s="18"/>
      <c r="AH45" s="18"/>
      <c r="AI45" s="18"/>
      <c r="AJ45" s="18"/>
      <c r="AK45" s="18" t="e">
        <f t="shared" si="27"/>
        <v>#DIV/0!</v>
      </c>
      <c r="AL45" s="18"/>
      <c r="AM45" s="18"/>
      <c r="AN45" s="42"/>
      <c r="AO45" s="40"/>
      <c r="AP45" s="40"/>
      <c r="AQ45" s="40"/>
      <c r="AR45" s="40"/>
      <c r="AS45" s="40"/>
      <c r="AT45" s="40"/>
      <c r="AU45" s="40"/>
      <c r="AV45" s="40"/>
      <c r="AW45" s="126"/>
      <c r="AX45" s="126"/>
      <c r="AY45" s="126"/>
      <c r="AZ45" s="40"/>
      <c r="BA45" s="40"/>
      <c r="BB45" s="40"/>
      <c r="BC45" s="40"/>
      <c r="BD45" s="69"/>
      <c r="BE45" s="69"/>
      <c r="BF45" s="127"/>
      <c r="BG45" s="127"/>
      <c r="BH45" s="127"/>
      <c r="BI45" s="127"/>
      <c r="BJ45" s="40"/>
      <c r="BL45" s="40"/>
      <c r="BM45" s="40"/>
    </row>
    <row r="46" spans="1:66" ht="14.25" x14ac:dyDescent="0.45">
      <c r="A46" t="s">
        <v>77</v>
      </c>
      <c r="B46" s="32">
        <f t="shared" si="34"/>
        <v>426.998910998675</v>
      </c>
      <c r="C46" s="32">
        <f t="shared" si="35"/>
        <v>463.54409117289748</v>
      </c>
      <c r="D46" s="33"/>
      <c r="E46" s="46">
        <v>1.5441585267456801</v>
      </c>
      <c r="G46">
        <v>64.949872105215107</v>
      </c>
      <c r="H46">
        <v>3.7819687979046899</v>
      </c>
      <c r="I46">
        <v>5524633.6871854002</v>
      </c>
      <c r="J46" s="2">
        <f t="shared" si="0"/>
        <v>94661.868255754089</v>
      </c>
      <c r="K46">
        <v>185537.26178127801</v>
      </c>
      <c r="L46">
        <v>6281175.5421101796</v>
      </c>
      <c r="M46">
        <v>124474.692565395</v>
      </c>
      <c r="N46" s="36"/>
      <c r="O46" s="36"/>
      <c r="P46" s="36"/>
      <c r="Q46" s="36"/>
      <c r="R46" s="3">
        <f t="shared" si="1"/>
        <v>18.260300663431664</v>
      </c>
      <c r="S46" s="38">
        <f t="shared" si="2"/>
        <v>0.76719628616637492</v>
      </c>
      <c r="T46" s="77">
        <v>0.16635135764703537</v>
      </c>
      <c r="U46" s="3">
        <f t="shared" ref="U46:U57" si="50">G46-(I46*$AT$2)</f>
        <v>46.689571441783443</v>
      </c>
      <c r="V46" s="3">
        <f t="shared" si="3"/>
        <v>1.3870862208489325</v>
      </c>
      <c r="W46" s="18">
        <f t="shared" ref="W46:W64" si="51">SQRT((V46/U46)^2+($W$83)^2+(T46/1.96)^2)*U46</f>
        <v>4.1984431711672441</v>
      </c>
      <c r="X46" s="39">
        <f t="shared" si="5"/>
        <v>7.4332537164051213E-6</v>
      </c>
      <c r="Y46" s="39">
        <f t="shared" si="6"/>
        <v>6.7262872976624702E-7</v>
      </c>
      <c r="Z46" s="38">
        <f t="shared" si="25"/>
        <v>1.1369397317110106</v>
      </c>
      <c r="AA46" s="38">
        <f t="shared" si="7"/>
        <v>1.1829127204217749E-2</v>
      </c>
      <c r="AB46" s="39">
        <f t="shared" si="8"/>
        <v>8.4511614860695091E-6</v>
      </c>
      <c r="AC46" s="39">
        <f t="shared" si="9"/>
        <v>7.7362284925729904E-7</v>
      </c>
      <c r="AD46" s="40"/>
      <c r="AE46" s="18">
        <f t="shared" si="10"/>
        <v>3.5294908596034711</v>
      </c>
      <c r="AF46" s="18">
        <f t="shared" si="26"/>
        <v>7.4156356141153387E-2</v>
      </c>
      <c r="AG46" s="18">
        <f t="shared" si="11"/>
        <v>2.1791244085486587</v>
      </c>
      <c r="AH46" s="18">
        <f t="shared" si="12"/>
        <v>0.19947795774656132</v>
      </c>
      <c r="AI46" s="18"/>
      <c r="AJ46" s="18">
        <f t="shared" si="13"/>
        <v>3.5294908596034711</v>
      </c>
      <c r="AK46" s="18">
        <f t="shared" si="27"/>
        <v>7.4156356141153387E-2</v>
      </c>
      <c r="AL46" s="18">
        <f t="shared" si="14"/>
        <v>1.5664755211318937</v>
      </c>
      <c r="AM46" s="18">
        <f t="shared" si="15"/>
        <v>0.14339582292297245</v>
      </c>
      <c r="AN46" s="42">
        <f t="shared" ref="AN46:AN64" si="52">AL46/AE46</f>
        <v>0.44382478477586512</v>
      </c>
      <c r="AO46" s="40">
        <f t="shared" ref="AO46:AO64" si="53">SQRT((AM46/AL46)^2+(AK46/AJ46)^2)*AN46</f>
        <v>4.1684313403816106E-2</v>
      </c>
      <c r="AP46" s="40"/>
      <c r="AQ46" s="40"/>
      <c r="AR46" s="40"/>
      <c r="AS46" s="40"/>
      <c r="AT46" s="40"/>
      <c r="AU46" s="62">
        <v>33.5</v>
      </c>
      <c r="AV46" s="62">
        <v>6.2</v>
      </c>
      <c r="AW46" s="126">
        <f t="shared" ref="AW46:AW57" si="54">(-LN(1-BD46)/0.0000091705)/1000</f>
        <v>31.463803930557866</v>
      </c>
      <c r="AX46" s="126">
        <f t="shared" ref="AX46:AX57" si="55">((-LN(1-(BD46+BE46))/0.0000091705)/1000)-AW46</f>
        <v>8.7987481568974673</v>
      </c>
      <c r="AY46" s="126">
        <f t="shared" ref="AY46:AY57" si="56">AW46-((-LN(1-(BD46-BE46))/0.0000091705)/1000)</f>
        <v>8.1414902389883181</v>
      </c>
      <c r="AZ46" s="36">
        <v>1.034</v>
      </c>
      <c r="BA46" s="36">
        <v>0.01</v>
      </c>
      <c r="BB46" s="36">
        <v>0.94099999999999995</v>
      </c>
      <c r="BC46" s="40">
        <v>0.01</v>
      </c>
      <c r="BD46" s="69">
        <f t="shared" ref="BD46:BD57" si="57">(AL46-BB46)/(AJ46-AZ46)</f>
        <v>0.2506422809463949</v>
      </c>
      <c r="BE46" s="69">
        <f t="shared" ref="BE46:BE57" si="58">SQRT(BD46^2*((BG46^2/BF46^2)+(BI46^2/BH46^2)))</f>
        <v>5.8089751692783242E-2</v>
      </c>
      <c r="BF46" s="127">
        <f t="shared" ref="BF46:BF57" si="59">AJ46-AZ46</f>
        <v>2.4954908596034713</v>
      </c>
      <c r="BG46" s="127">
        <f t="shared" ref="BG46:BG57" si="60">SQRT(BA46^2+AK46^2)</f>
        <v>7.4827569492357415E-2</v>
      </c>
      <c r="BH46" s="127">
        <f t="shared" ref="BH46:BH57" si="61">AL46-BB46</f>
        <v>0.62547552113189375</v>
      </c>
      <c r="BI46" s="127">
        <f t="shared" ref="BI46:BI57" si="62">SQRT(BC46^2+AM46^2)</f>
        <v>0.14374408520616239</v>
      </c>
      <c r="BJ46" s="40"/>
      <c r="BL46" s="40"/>
      <c r="BM46" s="40"/>
    </row>
    <row r="47" spans="1:66" ht="14.25" x14ac:dyDescent="0.45">
      <c r="A47" t="s">
        <v>78</v>
      </c>
      <c r="B47" s="32">
        <f t="shared" si="34"/>
        <v>409.51266433812185</v>
      </c>
      <c r="C47" s="32">
        <f t="shared" si="35"/>
        <v>441.36463400034035</v>
      </c>
      <c r="D47" s="33"/>
      <c r="E47" s="46">
        <v>3.2160268372416199</v>
      </c>
      <c r="G47">
        <v>62.258743970316502</v>
      </c>
      <c r="H47">
        <v>4.6069778400735402</v>
      </c>
      <c r="I47">
        <v>5298391.64095305</v>
      </c>
      <c r="J47" s="2">
        <f t="shared" si="0"/>
        <v>108266.65956112959</v>
      </c>
      <c r="K47">
        <v>212202.65273981399</v>
      </c>
      <c r="L47">
        <v>5980636.5716380402</v>
      </c>
      <c r="M47">
        <v>150096.60574671999</v>
      </c>
      <c r="N47" s="36"/>
      <c r="O47" s="36"/>
      <c r="P47" s="36"/>
      <c r="Q47" s="36"/>
      <c r="R47" s="3">
        <f t="shared" si="1"/>
        <v>17.512513928449522</v>
      </c>
      <c r="S47" s="38">
        <f t="shared" si="2"/>
        <v>0.93502492626963396</v>
      </c>
      <c r="T47" s="77">
        <v>0.18324650740235085</v>
      </c>
      <c r="U47" s="3">
        <f t="shared" si="50"/>
        <v>44.74623004186698</v>
      </c>
      <c r="V47" s="3">
        <f t="shared" si="3"/>
        <v>1.6893364320529944</v>
      </c>
      <c r="W47" s="18">
        <f t="shared" si="51"/>
        <v>4.5116773609813832</v>
      </c>
      <c r="X47" s="39">
        <f t="shared" si="5"/>
        <v>7.4818507203843364E-6</v>
      </c>
      <c r="Y47" s="39">
        <f t="shared" si="6"/>
        <v>7.6043966403661792E-7</v>
      </c>
      <c r="Z47" s="38">
        <f t="shared" si="25"/>
        <v>1.1287645340166419</v>
      </c>
      <c r="AA47" s="38">
        <f t="shared" si="7"/>
        <v>1.4924731894069149E-2</v>
      </c>
      <c r="AB47" s="39">
        <f t="shared" si="8"/>
        <v>8.445247741976703E-6</v>
      </c>
      <c r="AC47" s="39">
        <f t="shared" si="9"/>
        <v>8.6882880290239251E-7</v>
      </c>
      <c r="AD47" s="40"/>
      <c r="AE47" s="18">
        <f t="shared" si="10"/>
        <v>3.5041119545191162</v>
      </c>
      <c r="AF47" s="18">
        <f t="shared" si="26"/>
        <v>8.7751531260728419E-2</v>
      </c>
      <c r="AG47" s="18">
        <f t="shared" si="11"/>
        <v>2.1780282591761857</v>
      </c>
      <c r="AH47" s="18">
        <f t="shared" si="12"/>
        <v>0.22407083165859926</v>
      </c>
      <c r="AI47" s="18"/>
      <c r="AJ47" s="18">
        <f t="shared" si="13"/>
        <v>3.5041119545191162</v>
      </c>
      <c r="AK47" s="18">
        <f t="shared" si="27"/>
        <v>8.7751531260728419E-2</v>
      </c>
      <c r="AL47" s="18">
        <f t="shared" si="14"/>
        <v>1.5653793717594213</v>
      </c>
      <c r="AM47" s="18">
        <f t="shared" si="15"/>
        <v>0.16104284056627372</v>
      </c>
      <c r="AN47" s="42">
        <f t="shared" si="52"/>
        <v>0.44672641515937089</v>
      </c>
      <c r="AO47" s="40">
        <f t="shared" si="53"/>
        <v>4.7300233650002688E-2</v>
      </c>
      <c r="AP47" s="40"/>
      <c r="AQ47" s="40"/>
      <c r="AR47" s="40"/>
      <c r="AS47" s="40"/>
      <c r="AT47" s="40">
        <f t="shared" ref="AT47:AT57" si="63">AVERAGE(AX47:AY47)</f>
        <v>9.6485999757714005</v>
      </c>
      <c r="AU47" s="62">
        <v>33.700000000000003</v>
      </c>
      <c r="AV47" s="62">
        <v>7</v>
      </c>
      <c r="AW47" s="126">
        <f t="shared" si="54"/>
        <v>31.774408463992689</v>
      </c>
      <c r="AX47" s="126">
        <f t="shared" si="55"/>
        <v>10.074910192661694</v>
      </c>
      <c r="AY47" s="126">
        <f t="shared" si="56"/>
        <v>9.2222897588811072</v>
      </c>
      <c r="AZ47" s="36">
        <v>1.034</v>
      </c>
      <c r="BA47" s="36">
        <v>0.01</v>
      </c>
      <c r="BB47" s="36">
        <v>0.94099999999999995</v>
      </c>
      <c r="BC47" s="40">
        <v>0.01</v>
      </c>
      <c r="BD47" s="69">
        <f t="shared" si="57"/>
        <v>0.25277371360318612</v>
      </c>
      <c r="BE47" s="69">
        <f t="shared" si="58"/>
        <v>6.5944432947408441E-2</v>
      </c>
      <c r="BF47" s="127">
        <f t="shared" si="59"/>
        <v>2.4701119545191164</v>
      </c>
      <c r="BG47" s="127">
        <f t="shared" si="60"/>
        <v>8.8319483912682586E-2</v>
      </c>
      <c r="BH47" s="127">
        <f t="shared" si="61"/>
        <v>0.62437937175942138</v>
      </c>
      <c r="BI47" s="127">
        <f t="shared" si="62"/>
        <v>0.1613530182477361</v>
      </c>
      <c r="BJ47" s="40"/>
      <c r="BL47" s="40"/>
      <c r="BM47" s="40"/>
    </row>
    <row r="48" spans="1:66" ht="14.25" x14ac:dyDescent="0.45">
      <c r="A48" t="s">
        <v>79</v>
      </c>
      <c r="B48" s="32">
        <f t="shared" si="34"/>
        <v>289.65840890356293</v>
      </c>
      <c r="C48" s="32">
        <f t="shared" si="35"/>
        <v>385.81782536358213</v>
      </c>
      <c r="D48" s="33"/>
      <c r="E48" s="46">
        <v>2.47478321918067</v>
      </c>
      <c r="G48">
        <v>49.082620601711199</v>
      </c>
      <c r="H48">
        <v>3.28119470383256</v>
      </c>
      <c r="I48">
        <v>3747683.1026627901</v>
      </c>
      <c r="J48" s="2">
        <f t="shared" si="0"/>
        <v>108402.73169389235</v>
      </c>
      <c r="K48">
        <v>212469.35412002899</v>
      </c>
      <c r="L48">
        <v>5227958.9677262604</v>
      </c>
      <c r="M48">
        <v>235448.459812196</v>
      </c>
      <c r="N48" s="36"/>
      <c r="O48" s="36"/>
      <c r="P48" s="36"/>
      <c r="Q48" s="36"/>
      <c r="R48" s="3">
        <f t="shared" si="1"/>
        <v>12.387033081418565</v>
      </c>
      <c r="S48" s="38">
        <f t="shared" si="2"/>
        <v>0.59748978318333101</v>
      </c>
      <c r="T48" s="77">
        <v>0.21284890495793535</v>
      </c>
      <c r="U48" s="3">
        <f t="shared" si="50"/>
        <v>36.695587520292634</v>
      </c>
      <c r="V48" s="3">
        <f t="shared" si="3"/>
        <v>1.251589853148203</v>
      </c>
      <c r="W48" s="18">
        <f t="shared" si="51"/>
        <v>4.1769325681113072</v>
      </c>
      <c r="X48" s="39">
        <f t="shared" si="5"/>
        <v>7.0191039652042732E-6</v>
      </c>
      <c r="Y48" s="39">
        <f t="shared" si="6"/>
        <v>8.1507676091712748E-7</v>
      </c>
      <c r="Z48" s="38">
        <f t="shared" si="25"/>
        <v>1.3949842674829445</v>
      </c>
      <c r="AA48" s="38">
        <f t="shared" si="7"/>
        <v>3.3220750957888283E-2</v>
      </c>
      <c r="AB48" s="39">
        <f t="shared" si="8"/>
        <v>9.7915396032871136E-6</v>
      </c>
      <c r="AC48" s="39">
        <f t="shared" si="9"/>
        <v>1.149960249696899E-6</v>
      </c>
      <c r="AD48" s="40"/>
      <c r="AE48" s="18">
        <f t="shared" si="10"/>
        <v>4.3305586778659446</v>
      </c>
      <c r="AF48" s="18">
        <f t="shared" si="26"/>
        <v>0.16262792519087432</v>
      </c>
      <c r="AG48" s="18">
        <f t="shared" si="11"/>
        <v>2.4275718572387857</v>
      </c>
      <c r="AH48" s="18">
        <f t="shared" si="12"/>
        <v>0.28510441178936846</v>
      </c>
      <c r="AI48" s="18"/>
      <c r="AJ48" s="18">
        <f t="shared" si="13"/>
        <v>4.3305586778659446</v>
      </c>
      <c r="AK48" s="18">
        <f t="shared" si="27"/>
        <v>0.16262792519087432</v>
      </c>
      <c r="AL48" s="18">
        <f t="shared" si="14"/>
        <v>1.8149229698220211</v>
      </c>
      <c r="AM48" s="18">
        <f t="shared" si="15"/>
        <v>0.21315230863760312</v>
      </c>
      <c r="AN48" s="42">
        <f t="shared" si="52"/>
        <v>0.41909672742649379</v>
      </c>
      <c r="AO48" s="40">
        <f t="shared" si="53"/>
        <v>5.167554019746725E-2</v>
      </c>
      <c r="AP48" s="40"/>
      <c r="AQ48" s="40"/>
      <c r="AR48" s="40"/>
      <c r="AS48" s="40"/>
      <c r="AT48" s="40">
        <f t="shared" si="63"/>
        <v>9.826066920881571</v>
      </c>
      <c r="AU48" s="62">
        <v>34.799999999999997</v>
      </c>
      <c r="AV48" s="62">
        <v>7.8</v>
      </c>
      <c r="AW48" s="126">
        <f t="shared" si="54"/>
        <v>33.588464796579551</v>
      </c>
      <c r="AX48" s="126">
        <f t="shared" si="55"/>
        <v>10.268182274274388</v>
      </c>
      <c r="AY48" s="126">
        <f t="shared" si="56"/>
        <v>9.3839515674887544</v>
      </c>
      <c r="AZ48" s="36">
        <v>1.034</v>
      </c>
      <c r="BA48" s="36">
        <v>0.01</v>
      </c>
      <c r="BB48" s="36">
        <v>0.94099999999999995</v>
      </c>
      <c r="BC48" s="40">
        <v>0.01</v>
      </c>
      <c r="BD48" s="69">
        <f t="shared" si="57"/>
        <v>0.26510159691371321</v>
      </c>
      <c r="BE48" s="69">
        <f t="shared" si="58"/>
        <v>6.6043000577562211E-2</v>
      </c>
      <c r="BF48" s="127">
        <f t="shared" si="59"/>
        <v>3.2965586778659448</v>
      </c>
      <c r="BG48" s="127">
        <f t="shared" si="60"/>
        <v>0.16293508539258392</v>
      </c>
      <c r="BH48" s="127">
        <f t="shared" si="61"/>
        <v>0.87392296982202111</v>
      </c>
      <c r="BI48" s="127">
        <f t="shared" si="62"/>
        <v>0.2133867537536949</v>
      </c>
      <c r="BJ48" s="40"/>
      <c r="BL48" s="40"/>
      <c r="BM48" s="40"/>
    </row>
    <row r="49" spans="1:68" ht="14.25" x14ac:dyDescent="0.45">
      <c r="A49" t="s">
        <v>80</v>
      </c>
      <c r="B49" s="32">
        <f t="shared" si="34"/>
        <v>479.69509612867955</v>
      </c>
      <c r="C49" s="32">
        <f t="shared" si="35"/>
        <v>497.59310765038293</v>
      </c>
      <c r="D49" s="33"/>
      <c r="E49" s="46">
        <v>3.4105198365381999</v>
      </c>
      <c r="G49">
        <v>78.114218089999198</v>
      </c>
      <c r="H49">
        <v>5.3295160958750101</v>
      </c>
      <c r="I49">
        <v>6206431.9589291997</v>
      </c>
      <c r="J49" s="2">
        <f t="shared" si="0"/>
        <v>131365.27460806124</v>
      </c>
      <c r="K49">
        <v>257475.93823180001</v>
      </c>
      <c r="L49">
        <v>6742550.9616309898</v>
      </c>
      <c r="M49">
        <v>191399.93585496501</v>
      </c>
      <c r="N49" s="36"/>
      <c r="O49" s="36"/>
      <c r="P49" s="36"/>
      <c r="Q49" s="36"/>
      <c r="R49" s="3">
        <f t="shared" si="1"/>
        <v>20.513815039005152</v>
      </c>
      <c r="S49" s="38">
        <f t="shared" si="2"/>
        <v>1.0098643710605628</v>
      </c>
      <c r="T49" s="77">
        <v>0.19759062566817534</v>
      </c>
      <c r="U49" s="3">
        <f t="shared" si="50"/>
        <v>57.600403050994046</v>
      </c>
      <c r="V49" s="3">
        <f t="shared" si="3"/>
        <v>2.0050589203867402</v>
      </c>
      <c r="W49" s="18">
        <f t="shared" si="51"/>
        <v>6.1432092342237681</v>
      </c>
      <c r="X49" s="39">
        <f t="shared" si="5"/>
        <v>8.5428205702520622E-6</v>
      </c>
      <c r="Y49" s="39">
        <f t="shared" si="6"/>
        <v>9.1947303484782488E-7</v>
      </c>
      <c r="Z49" s="38">
        <f t="shared" si="25"/>
        <v>1.086381193937118</v>
      </c>
      <c r="AA49" s="38">
        <f t="shared" si="7"/>
        <v>1.6220863460147009E-2</v>
      </c>
      <c r="AB49" s="39">
        <f t="shared" si="8"/>
        <v>9.2807596107010061E-6</v>
      </c>
      <c r="AC49" s="39">
        <f t="shared" si="9"/>
        <v>1.0091173170120743E-6</v>
      </c>
      <c r="AD49" s="40"/>
      <c r="AE49" s="18">
        <f t="shared" si="10"/>
        <v>3.37253803970393</v>
      </c>
      <c r="AF49" s="18">
        <f t="shared" si="26"/>
        <v>8.9444219854993789E-2</v>
      </c>
      <c r="AG49" s="18">
        <f t="shared" si="11"/>
        <v>2.3328955980773731</v>
      </c>
      <c r="AH49" s="18">
        <f t="shared" si="12"/>
        <v>0.25366084733912198</v>
      </c>
      <c r="AI49" s="18"/>
      <c r="AJ49" s="18">
        <f t="shared" si="13"/>
        <v>3.37253803970393</v>
      </c>
      <c r="AK49" s="18">
        <f t="shared" si="27"/>
        <v>8.9444219854993789E-2</v>
      </c>
      <c r="AL49" s="18">
        <f t="shared" si="14"/>
        <v>1.7202467106606081</v>
      </c>
      <c r="AM49" s="18">
        <f t="shared" si="15"/>
        <v>0.1870461921305554</v>
      </c>
      <c r="AN49" s="42">
        <f t="shared" si="52"/>
        <v>0.51007481321444958</v>
      </c>
      <c r="AO49" s="40">
        <f t="shared" si="53"/>
        <v>5.7087536821168093E-2</v>
      </c>
      <c r="AP49" s="40"/>
      <c r="AQ49" s="40"/>
      <c r="AR49" s="40"/>
      <c r="AS49" s="40"/>
      <c r="AT49" s="40">
        <f t="shared" si="63"/>
        <v>13.332178356977812</v>
      </c>
      <c r="AU49" s="62">
        <v>42.5</v>
      </c>
      <c r="AV49" s="62">
        <v>9.1999999999999993</v>
      </c>
      <c r="AW49" s="126">
        <f t="shared" si="54"/>
        <v>44.195466219962334</v>
      </c>
      <c r="AX49" s="126">
        <f t="shared" si="55"/>
        <v>14.145170256648804</v>
      </c>
      <c r="AY49" s="126">
        <f t="shared" si="56"/>
        <v>12.519186457306819</v>
      </c>
      <c r="AZ49" s="36">
        <v>1.034</v>
      </c>
      <c r="BA49" s="36">
        <v>0.01</v>
      </c>
      <c r="BB49" s="36">
        <v>0.94099999999999995</v>
      </c>
      <c r="BC49" s="40">
        <v>0.01</v>
      </c>
      <c r="BD49" s="69">
        <f t="shared" si="57"/>
        <v>0.33321960020768554</v>
      </c>
      <c r="BE49" s="69">
        <f t="shared" si="58"/>
        <v>8.111861015408868E-2</v>
      </c>
      <c r="BF49" s="127">
        <f t="shared" si="59"/>
        <v>2.3385380397039297</v>
      </c>
      <c r="BG49" s="127">
        <f t="shared" si="60"/>
        <v>9.0001491462466693E-2</v>
      </c>
      <c r="BH49" s="127">
        <f t="shared" si="61"/>
        <v>0.77924671066060813</v>
      </c>
      <c r="BI49" s="127">
        <f t="shared" si="62"/>
        <v>0.18731331503804166</v>
      </c>
      <c r="BJ49" s="40"/>
      <c r="BL49" s="40"/>
      <c r="BM49" s="40"/>
    </row>
    <row r="50" spans="1:68" ht="14.25" x14ac:dyDescent="0.45">
      <c r="A50" t="s">
        <v>81</v>
      </c>
      <c r="B50" s="32">
        <f t="shared" si="34"/>
        <v>579.49122284561349</v>
      </c>
      <c r="C50" s="32">
        <f t="shared" si="35"/>
        <v>821.63715835487017</v>
      </c>
      <c r="D50" s="33"/>
      <c r="E50" s="46">
        <v>4.2985695409617</v>
      </c>
      <c r="G50">
        <v>113.85223187929</v>
      </c>
      <c r="H50">
        <v>9.61878564141327</v>
      </c>
      <c r="I50">
        <v>7497622.7074524602</v>
      </c>
      <c r="J50" s="2">
        <f t="shared" si="0"/>
        <v>167315.03856674387</v>
      </c>
      <c r="K50">
        <v>327937.47559081798</v>
      </c>
      <c r="L50">
        <v>11133454.879101399</v>
      </c>
      <c r="M50">
        <v>438452.13663580798</v>
      </c>
      <c r="N50" s="36"/>
      <c r="O50" s="36"/>
      <c r="P50" s="36"/>
      <c r="Q50" s="36"/>
      <c r="R50" s="3">
        <f t="shared" si="1"/>
        <v>24.781524468603195</v>
      </c>
      <c r="S50" s="38">
        <f t="shared" si="2"/>
        <v>1.5106562204090195</v>
      </c>
      <c r="T50" s="77">
        <v>0.13938724579588946</v>
      </c>
      <c r="U50" s="3">
        <f t="shared" si="50"/>
        <v>89.070707410686808</v>
      </c>
      <c r="V50" s="3">
        <f t="shared" si="3"/>
        <v>3.8393484371057496</v>
      </c>
      <c r="W50" s="18">
        <f t="shared" si="51"/>
        <v>7.4070609121877578</v>
      </c>
      <c r="X50" s="39">
        <f t="shared" si="5"/>
        <v>8.0002755997943979E-6</v>
      </c>
      <c r="Y50" s="39">
        <f t="shared" si="6"/>
        <v>6.8444159501985008E-7</v>
      </c>
      <c r="Z50" s="38">
        <f t="shared" si="25"/>
        <v>1.4849313327056333</v>
      </c>
      <c r="AA50" s="38">
        <f t="shared" si="7"/>
        <v>3.0575617838750523E-2</v>
      </c>
      <c r="AB50" s="39">
        <f t="shared" si="8"/>
        <v>1.1879859908415054E-5</v>
      </c>
      <c r="AC50" s="39">
        <f t="shared" si="9"/>
        <v>1.0228737164708664E-6</v>
      </c>
      <c r="AD50" s="40"/>
      <c r="AE50" s="18">
        <f t="shared" si="10"/>
        <v>4.6097883816901497</v>
      </c>
      <c r="AF50" s="18">
        <f t="shared" si="26"/>
        <v>0.14188320620908515</v>
      </c>
      <c r="AG50" s="18">
        <f t="shared" si="11"/>
        <v>2.8146550580104033</v>
      </c>
      <c r="AH50" s="18">
        <f t="shared" si="12"/>
        <v>0.24234601266057593</v>
      </c>
      <c r="AI50" s="18"/>
      <c r="AJ50" s="18">
        <f t="shared" si="13"/>
        <v>4.6097883816901497</v>
      </c>
      <c r="AK50" s="18">
        <f t="shared" si="27"/>
        <v>0.14188320620908515</v>
      </c>
      <c r="AL50" s="18">
        <f t="shared" si="14"/>
        <v>2.2020061705936387</v>
      </c>
      <c r="AM50" s="18">
        <f t="shared" si="15"/>
        <v>0.18959602661740438</v>
      </c>
      <c r="AN50" s="42">
        <f t="shared" si="52"/>
        <v>0.47768053287215911</v>
      </c>
      <c r="AO50" s="40">
        <f t="shared" si="53"/>
        <v>4.3677857568460682E-2</v>
      </c>
      <c r="AP50" s="40"/>
      <c r="AQ50" s="52"/>
      <c r="AR50" s="52"/>
      <c r="AS50" s="40"/>
      <c r="AT50" s="40">
        <f t="shared" si="63"/>
        <v>9.2731062528966568</v>
      </c>
      <c r="AU50" s="62">
        <v>45.4</v>
      </c>
      <c r="AV50" s="62">
        <v>7.2</v>
      </c>
      <c r="AW50" s="126">
        <f t="shared" si="54"/>
        <v>47.420541120765265</v>
      </c>
      <c r="AX50" s="126">
        <f t="shared" si="55"/>
        <v>9.6669198811032757</v>
      </c>
      <c r="AY50" s="126">
        <f t="shared" si="56"/>
        <v>8.8792926246900379</v>
      </c>
      <c r="AZ50" s="36">
        <v>1.034</v>
      </c>
      <c r="BA50" s="36">
        <v>0.01</v>
      </c>
      <c r="BB50" s="36">
        <v>0.94099999999999995</v>
      </c>
      <c r="BC50" s="40">
        <v>0.01</v>
      </c>
      <c r="BD50" s="69">
        <f t="shared" si="57"/>
        <v>0.35265122987999792</v>
      </c>
      <c r="BE50" s="69">
        <f t="shared" si="58"/>
        <v>5.4917588046431466E-2</v>
      </c>
      <c r="BF50" s="127">
        <f t="shared" si="59"/>
        <v>3.5757883816901499</v>
      </c>
      <c r="BG50" s="127">
        <f t="shared" si="60"/>
        <v>0.14223517217682052</v>
      </c>
      <c r="BH50" s="127">
        <f t="shared" si="61"/>
        <v>1.2610061705936388</v>
      </c>
      <c r="BI50" s="127">
        <f t="shared" si="62"/>
        <v>0.18985956206919766</v>
      </c>
      <c r="BL50" s="40"/>
      <c r="BM50" s="40"/>
    </row>
    <row r="51" spans="1:68" ht="14.25" x14ac:dyDescent="0.45">
      <c r="A51" t="s">
        <v>82</v>
      </c>
      <c r="B51" s="32">
        <f t="shared" si="34"/>
        <v>366.79913599814631</v>
      </c>
      <c r="C51" s="32">
        <f t="shared" si="35"/>
        <v>403.52649032163913</v>
      </c>
      <c r="D51" s="33"/>
      <c r="E51" s="46">
        <v>-0.48284845924722197</v>
      </c>
      <c r="G51">
        <v>59.266869749812599</v>
      </c>
      <c r="H51">
        <v>4.1839714297974204</v>
      </c>
      <c r="I51">
        <v>4745751.8297327599</v>
      </c>
      <c r="J51" s="2">
        <f t="shared" si="0"/>
        <v>85525.149971091829</v>
      </c>
      <c r="K51">
        <v>167629.29394333999</v>
      </c>
      <c r="L51">
        <v>5467917.2270075399</v>
      </c>
      <c r="M51">
        <v>143716.53251849901</v>
      </c>
      <c r="N51" s="36"/>
      <c r="O51" s="36"/>
      <c r="P51" s="36"/>
      <c r="Q51" s="36"/>
      <c r="R51" s="3">
        <f t="shared" si="1"/>
        <v>15.685900675362362</v>
      </c>
      <c r="S51" s="38">
        <f t="shared" si="2"/>
        <v>0.79899692406270073</v>
      </c>
      <c r="T51" s="77">
        <v>0.13113784969388714</v>
      </c>
      <c r="U51" s="3">
        <f t="shared" si="50"/>
        <v>43.580969074450238</v>
      </c>
      <c r="V51" s="3">
        <f t="shared" si="3"/>
        <v>1.5697031577651226</v>
      </c>
      <c r="W51" s="18">
        <f t="shared" si="51"/>
        <v>3.3115394827265292</v>
      </c>
      <c r="X51" s="39">
        <f t="shared" si="5"/>
        <v>7.970305193939641E-6</v>
      </c>
      <c r="Y51" s="39">
        <f t="shared" si="6"/>
        <v>6.149898121615001E-7</v>
      </c>
      <c r="Z51" s="38">
        <f t="shared" si="25"/>
        <v>1.1521709147853705</v>
      </c>
      <c r="AA51" s="38">
        <f t="shared" si="7"/>
        <v>1.5824802214470399E-2</v>
      </c>
      <c r="AB51" s="39">
        <f t="shared" si="8"/>
        <v>9.1831538264200263E-6</v>
      </c>
      <c r="AC51" s="39">
        <f t="shared" si="9"/>
        <v>7.1714666279309331E-7</v>
      </c>
      <c r="AD51" s="40"/>
      <c r="AE51" s="18">
        <f t="shared" si="10"/>
        <v>3.5767742115195817</v>
      </c>
      <c r="AF51" s="18">
        <f t="shared" si="26"/>
        <v>8.3899675973561863E-2</v>
      </c>
      <c r="AG51" s="18">
        <f t="shared" si="11"/>
        <v>2.3148037568495061</v>
      </c>
      <c r="AH51" s="18">
        <f t="shared" si="12"/>
        <v>0.18077164127094841</v>
      </c>
      <c r="AI51" s="18"/>
      <c r="AJ51" s="18">
        <f t="shared" si="13"/>
        <v>3.5767742115195817</v>
      </c>
      <c r="AK51" s="18">
        <f t="shared" si="27"/>
        <v>8.3899675973561863E-2</v>
      </c>
      <c r="AL51" s="18">
        <f t="shared" si="14"/>
        <v>1.7021548694327411</v>
      </c>
      <c r="AM51" s="18">
        <f t="shared" si="15"/>
        <v>0.13292760932074912</v>
      </c>
      <c r="AN51" s="42">
        <f t="shared" si="52"/>
        <v>0.47589105958958078</v>
      </c>
      <c r="AO51" s="40">
        <f t="shared" si="53"/>
        <v>3.8804388342221607E-2</v>
      </c>
      <c r="AP51" s="40"/>
      <c r="AQ51" s="52"/>
      <c r="AR51" s="52"/>
      <c r="AT51" s="40">
        <f t="shared" si="63"/>
        <v>8.3205915263043142</v>
      </c>
      <c r="AU51" s="62">
        <v>38.700000000000003</v>
      </c>
      <c r="AV51" s="62">
        <v>6</v>
      </c>
      <c r="AW51" s="126">
        <f>(-LN(1-BD51)/0.0000091705)/1000</f>
        <v>38.791014751568177</v>
      </c>
      <c r="AX51" s="126">
        <f t="shared" si="55"/>
        <v>8.6377311022301058</v>
      </c>
      <c r="AY51" s="126">
        <f t="shared" si="56"/>
        <v>8.0034519503785226</v>
      </c>
      <c r="AZ51" s="36">
        <v>1.034</v>
      </c>
      <c r="BA51" s="36">
        <v>0.01</v>
      </c>
      <c r="BB51" s="36">
        <v>0.94099999999999995</v>
      </c>
      <c r="BC51" s="40">
        <v>0.01</v>
      </c>
      <c r="BD51" s="69">
        <f t="shared" si="57"/>
        <v>0.29934032915091935</v>
      </c>
      <c r="BE51" s="69">
        <f t="shared" si="58"/>
        <v>5.3359606391969135E-2</v>
      </c>
      <c r="BF51" s="127">
        <f t="shared" si="59"/>
        <v>2.5427742115195819</v>
      </c>
      <c r="BG51" s="127">
        <f t="shared" si="60"/>
        <v>8.4493524180665316E-2</v>
      </c>
      <c r="BH51" s="127">
        <f t="shared" si="61"/>
        <v>0.76115486943274113</v>
      </c>
      <c r="BI51" s="127">
        <f t="shared" si="62"/>
        <v>0.13330322321583116</v>
      </c>
    </row>
    <row r="52" spans="1:68" ht="14.25" x14ac:dyDescent="0.45">
      <c r="A52" t="s">
        <v>83</v>
      </c>
      <c r="B52" s="32">
        <f t="shared" si="34"/>
        <v>930.48733766474504</v>
      </c>
      <c r="C52" s="32">
        <f t="shared" si="35"/>
        <v>884.90696574416859</v>
      </c>
      <c r="D52" s="33"/>
      <c r="E52" s="46">
        <v>7.2956352276314096</v>
      </c>
      <c r="G52">
        <v>135.847670374465</v>
      </c>
      <c r="H52">
        <v>7.1109761451373901</v>
      </c>
      <c r="I52">
        <v>12038910.5422755</v>
      </c>
      <c r="J52" s="2">
        <f t="shared" si="0"/>
        <v>150443.40433245865</v>
      </c>
      <c r="K52">
        <v>294869.07249161898</v>
      </c>
      <c r="L52">
        <v>11990781.666985</v>
      </c>
      <c r="M52">
        <v>266280.34068411798</v>
      </c>
      <c r="N52" s="36"/>
      <c r="O52" s="36"/>
      <c r="P52" s="36"/>
      <c r="Q52" s="36"/>
      <c r="R52" s="3">
        <f t="shared" si="1"/>
        <v>39.791620333493142</v>
      </c>
      <c r="S52" s="38">
        <f t="shared" si="2"/>
        <v>1.5028913235716463</v>
      </c>
      <c r="T52" s="77">
        <v>0.13881747896890598</v>
      </c>
      <c r="U52" s="3">
        <f t="shared" si="50"/>
        <v>96.056050040971854</v>
      </c>
      <c r="V52" s="3">
        <f t="shared" si="3"/>
        <v>2.5653444073575886</v>
      </c>
      <c r="W52" s="18">
        <f t="shared" si="51"/>
        <v>7.2707929336272992</v>
      </c>
      <c r="X52" s="39">
        <f t="shared" si="5"/>
        <v>8.0108247075709192E-6</v>
      </c>
      <c r="Y52" s="39">
        <f t="shared" si="6"/>
        <v>6.1312058196720333E-7</v>
      </c>
      <c r="Z52" s="38">
        <f t="shared" si="25"/>
        <v>0.99600222336385902</v>
      </c>
      <c r="AA52" s="38">
        <f t="shared" si="7"/>
        <v>1.1440387885548754E-2</v>
      </c>
      <c r="AB52" s="39">
        <f t="shared" si="8"/>
        <v>7.9787992197187722E-6</v>
      </c>
      <c r="AC52" s="39">
        <f t="shared" si="9"/>
        <v>6.1211620269340027E-7</v>
      </c>
      <c r="AD52" s="40"/>
      <c r="AE52" s="18">
        <f t="shared" si="10"/>
        <v>3.0919675383470731</v>
      </c>
      <c r="AF52" s="18">
        <f t="shared" si="26"/>
        <v>5.6181576403192802E-2</v>
      </c>
      <c r="AG52" s="18">
        <f t="shared" si="11"/>
        <v>2.0915691146917728</v>
      </c>
      <c r="AH52" s="18">
        <f t="shared" si="12"/>
        <v>0.16046065440421636</v>
      </c>
      <c r="AI52" s="18"/>
      <c r="AJ52" s="18">
        <f t="shared" si="13"/>
        <v>3.0919675383470731</v>
      </c>
      <c r="AK52" s="18">
        <f t="shared" si="27"/>
        <v>5.6181576403192802E-2</v>
      </c>
      <c r="AL52" s="18">
        <f t="shared" si="14"/>
        <v>1.4789202272750077</v>
      </c>
      <c r="AM52" s="18">
        <f t="shared" si="15"/>
        <v>0.11345955809600461</v>
      </c>
      <c r="AN52" s="42">
        <f t="shared" si="52"/>
        <v>0.47831039910128548</v>
      </c>
      <c r="AO52" s="40">
        <f>SQRT((AM52/AL52)^2+(AK52/AJ52)^2)*AN52</f>
        <v>3.771010017209539E-2</v>
      </c>
      <c r="AP52" s="40"/>
      <c r="AQ52" s="52"/>
      <c r="AR52" s="52"/>
      <c r="AT52" s="40">
        <f t="shared" si="63"/>
        <v>8.256433148244648</v>
      </c>
      <c r="AU52" s="62">
        <v>34.9</v>
      </c>
      <c r="AV52" s="62">
        <v>5.7</v>
      </c>
      <c r="AW52" s="126">
        <f t="shared" si="54"/>
        <v>33.038264414201677</v>
      </c>
      <c r="AX52" s="126">
        <f t="shared" si="55"/>
        <v>8.5687054286478315</v>
      </c>
      <c r="AY52" s="126">
        <f t="shared" si="56"/>
        <v>7.9441608678414646</v>
      </c>
      <c r="AZ52" s="36">
        <v>1.034</v>
      </c>
      <c r="BA52" s="36">
        <v>0.01</v>
      </c>
      <c r="BB52" s="36">
        <v>0.94099999999999995</v>
      </c>
      <c r="BC52" s="40">
        <v>0.01</v>
      </c>
      <c r="BD52" s="69">
        <f t="shared" si="57"/>
        <v>0.26138421391576311</v>
      </c>
      <c r="BE52" s="69">
        <f t="shared" si="58"/>
        <v>5.5818127320852486E-2</v>
      </c>
      <c r="BF52" s="127">
        <f t="shared" si="59"/>
        <v>2.0579675383470732</v>
      </c>
      <c r="BG52" s="127">
        <f t="shared" si="60"/>
        <v>5.7064608358839981E-2</v>
      </c>
      <c r="BH52" s="127">
        <f t="shared" si="61"/>
        <v>0.53792022727500777</v>
      </c>
      <c r="BI52" s="127">
        <f t="shared" si="62"/>
        <v>0.11389939123340671</v>
      </c>
    </row>
    <row r="53" spans="1:68" ht="14.25" x14ac:dyDescent="0.45">
      <c r="A53" t="s">
        <v>84</v>
      </c>
      <c r="B53" s="32">
        <f t="shared" si="34"/>
        <v>805.57587884480506</v>
      </c>
      <c r="C53" s="32">
        <f t="shared" si="35"/>
        <v>780.79538331913966</v>
      </c>
      <c r="D53" s="33"/>
      <c r="E53" s="46">
        <v>14.327389839906401</v>
      </c>
      <c r="G53">
        <v>121.45700762654801</v>
      </c>
      <c r="H53">
        <v>4.8498622147900203</v>
      </c>
      <c r="I53">
        <v>10422770.464311101</v>
      </c>
      <c r="J53" s="2">
        <f t="shared" si="0"/>
        <v>151955.9586281036</v>
      </c>
      <c r="K53">
        <v>297833.67891108303</v>
      </c>
      <c r="L53">
        <v>10580035.337495999</v>
      </c>
      <c r="M53">
        <v>240653.38346878599</v>
      </c>
      <c r="N53" s="36"/>
      <c r="O53" s="36"/>
      <c r="P53" s="36"/>
      <c r="Q53" s="36"/>
      <c r="R53" s="3">
        <f t="shared" si="1"/>
        <v>34.44987182873632</v>
      </c>
      <c r="S53" s="38">
        <f t="shared" si="2"/>
        <v>0.9925522090240334</v>
      </c>
      <c r="T53" s="77">
        <v>8.7749607207141131E-2</v>
      </c>
      <c r="U53" s="3">
        <f t="shared" si="50"/>
        <v>87.007135797811685</v>
      </c>
      <c r="V53" s="3">
        <f t="shared" si="3"/>
        <v>1.7725790996592656</v>
      </c>
      <c r="W53" s="18">
        <f t="shared" si="51"/>
        <v>4.2796744451456501</v>
      </c>
      <c r="X53" s="39">
        <f t="shared" si="5"/>
        <v>8.2237093754739627E-6</v>
      </c>
      <c r="Y53" s="39">
        <f t="shared" si="6"/>
        <v>4.1561075011044856E-7</v>
      </c>
      <c r="Z53" s="38">
        <f t="shared" si="25"/>
        <v>1.0150885864486217</v>
      </c>
      <c r="AA53" s="38">
        <f t="shared" si="7"/>
        <v>1.1995962775405595E-2</v>
      </c>
      <c r="AB53" s="39">
        <f t="shared" si="8"/>
        <v>8.3477935253141426E-6</v>
      </c>
      <c r="AC53" s="39">
        <f t="shared" si="9"/>
        <v>4.2826511448645591E-7</v>
      </c>
      <c r="AD53" s="40"/>
      <c r="AE53" s="18">
        <f t="shared" si="10"/>
        <v>3.1512188268470918</v>
      </c>
      <c r="AF53" s="18">
        <f t="shared" si="26"/>
        <v>6.2458897688004118E-2</v>
      </c>
      <c r="AG53" s="18">
        <f t="shared" si="11"/>
        <v>2.1599645119522548</v>
      </c>
      <c r="AH53" s="18">
        <f t="shared" si="12"/>
        <v>0.11081220998013405</v>
      </c>
      <c r="AI53" s="18"/>
      <c r="AJ53" s="18">
        <f t="shared" si="13"/>
        <v>3.1512188268470918</v>
      </c>
      <c r="AK53" s="18">
        <f t="shared" si="27"/>
        <v>6.2458897688004118E-2</v>
      </c>
      <c r="AL53" s="18">
        <f t="shared" si="14"/>
        <v>1.5473156245354898</v>
      </c>
      <c r="AM53" s="18">
        <f t="shared" si="15"/>
        <v>7.9381611569440014E-2</v>
      </c>
      <c r="AN53" s="42">
        <f t="shared" si="52"/>
        <v>0.49102131891095452</v>
      </c>
      <c r="AO53" s="40">
        <f t="shared" si="53"/>
        <v>2.7005417057822396E-2</v>
      </c>
      <c r="AP53" s="40"/>
      <c r="AQ53" s="52"/>
      <c r="AR53" s="52"/>
      <c r="AT53" s="40">
        <f t="shared" si="63"/>
        <v>5.9264050803094577</v>
      </c>
      <c r="AU53" s="62">
        <v>37.4</v>
      </c>
      <c r="AV53" s="62">
        <v>4.2</v>
      </c>
      <c r="AW53" s="126">
        <f t="shared" si="54"/>
        <v>36.79142184839322</v>
      </c>
      <c r="AX53" s="126">
        <f t="shared" si="55"/>
        <v>6.0873702842129163</v>
      </c>
      <c r="AY53" s="126">
        <f t="shared" si="56"/>
        <v>5.7654398764059991</v>
      </c>
      <c r="AZ53" s="36">
        <v>1.034</v>
      </c>
      <c r="BA53" s="36">
        <v>0.01</v>
      </c>
      <c r="BB53" s="36">
        <v>0.94099999999999995</v>
      </c>
      <c r="BC53" s="40">
        <v>0.01</v>
      </c>
      <c r="BD53" s="69">
        <f t="shared" si="57"/>
        <v>0.28637362224782387</v>
      </c>
      <c r="BE53" s="69">
        <f t="shared" si="58"/>
        <v>3.874609535555746E-2</v>
      </c>
      <c r="BF53" s="127">
        <f t="shared" si="59"/>
        <v>2.1172188268470915</v>
      </c>
      <c r="BG53" s="127">
        <f t="shared" si="60"/>
        <v>6.3254358746260064E-2</v>
      </c>
      <c r="BH53" s="127">
        <f t="shared" si="61"/>
        <v>0.60631562453548982</v>
      </c>
      <c r="BI53" s="127">
        <f t="shared" si="62"/>
        <v>8.0009001089636489E-2</v>
      </c>
    </row>
    <row r="54" spans="1:68" ht="14.25" x14ac:dyDescent="0.45">
      <c r="A54" t="s">
        <v>85</v>
      </c>
      <c r="B54" s="32">
        <f t="shared" si="34"/>
        <v>525.0444820924281</v>
      </c>
      <c r="C54" s="32">
        <f t="shared" si="35"/>
        <v>538.07902294909547</v>
      </c>
      <c r="D54" s="33"/>
      <c r="E54" s="46">
        <v>0.37121204717540501</v>
      </c>
      <c r="G54">
        <v>84.618228736826595</v>
      </c>
      <c r="H54">
        <v>5.1871858280358198</v>
      </c>
      <c r="I54">
        <v>6793175.2478114404</v>
      </c>
      <c r="J54" s="2">
        <f t="shared" si="0"/>
        <v>114425.51897927346</v>
      </c>
      <c r="K54">
        <v>224274.01719937599</v>
      </c>
      <c r="L54">
        <v>7291148.4862607801</v>
      </c>
      <c r="M54">
        <v>255195.969743291</v>
      </c>
      <c r="N54" s="36"/>
      <c r="O54" s="36"/>
      <c r="P54" s="36"/>
      <c r="Q54" s="36"/>
      <c r="R54" s="3">
        <f t="shared" si="1"/>
        <v>22.453148843541769</v>
      </c>
      <c r="S54" s="38">
        <f t="shared" si="2"/>
        <v>0.99312532844737889</v>
      </c>
      <c r="T54" s="77">
        <v>7.7533816216635978E-2</v>
      </c>
      <c r="U54" s="3">
        <f t="shared" si="50"/>
        <v>62.165079893284826</v>
      </c>
      <c r="V54" s="3">
        <f t="shared" si="3"/>
        <v>1.9442777273376697</v>
      </c>
      <c r="W54" s="18">
        <f t="shared" si="51"/>
        <v>3.134890579721255</v>
      </c>
      <c r="X54" s="39">
        <f t="shared" si="5"/>
        <v>8.5261025763536198E-6</v>
      </c>
      <c r="Y54" s="39">
        <f t="shared" si="6"/>
        <v>4.5612048820001111E-7</v>
      </c>
      <c r="Z54" s="38">
        <f t="shared" si="25"/>
        <v>1.0733049303578281</v>
      </c>
      <c r="AA54" s="38">
        <f t="shared" si="7"/>
        <v>1.9471118255790332E-2</v>
      </c>
      <c r="AB54" s="39">
        <f t="shared" si="8"/>
        <v>9.1511079319369197E-6</v>
      </c>
      <c r="AC54" s="39">
        <f t="shared" si="9"/>
        <v>4.8653940934115992E-7</v>
      </c>
      <c r="AD54" s="40"/>
      <c r="AE54" s="18">
        <f t="shared" si="10"/>
        <v>3.3319443727806948</v>
      </c>
      <c r="AF54" s="18">
        <f t="shared" si="26"/>
        <v>8.4833209807686924E-2</v>
      </c>
      <c r="AG54" s="18">
        <f t="shared" si="11"/>
        <v>2.3088638503238399</v>
      </c>
      <c r="AH54" s="18">
        <f t="shared" si="12"/>
        <v>0.12275598346570357</v>
      </c>
      <c r="AI54" s="18"/>
      <c r="AJ54" s="18">
        <f t="shared" si="13"/>
        <v>3.3319443727806948</v>
      </c>
      <c r="AK54" s="18">
        <f t="shared" si="27"/>
        <v>8.4833209807686924E-2</v>
      </c>
      <c r="AL54" s="18">
        <f t="shared" si="14"/>
        <v>1.6962149629070749</v>
      </c>
      <c r="AM54" s="18">
        <f t="shared" si="15"/>
        <v>9.0183115782983478E-2</v>
      </c>
      <c r="AN54" s="42">
        <f t="shared" si="52"/>
        <v>0.50907661507310464</v>
      </c>
      <c r="AO54" s="40">
        <f t="shared" si="53"/>
        <v>3.0009620129582342E-2</v>
      </c>
      <c r="AP54" s="40"/>
      <c r="AQ54" s="52"/>
      <c r="AR54" s="52"/>
      <c r="AT54" s="40">
        <f t="shared" si="63"/>
        <v>6.7219720664853817</v>
      </c>
      <c r="AU54" s="62">
        <v>41.9</v>
      </c>
      <c r="AV54" s="62">
        <v>4.8</v>
      </c>
      <c r="AW54" s="126">
        <f t="shared" si="54"/>
        <v>43.450387719950058</v>
      </c>
      <c r="AX54" s="126">
        <f t="shared" si="55"/>
        <v>6.9290250854830404</v>
      </c>
      <c r="AY54" s="126">
        <f t="shared" si="56"/>
        <v>6.514919047487723</v>
      </c>
      <c r="AZ54" s="36">
        <v>1.034</v>
      </c>
      <c r="BA54" s="36">
        <v>0.01</v>
      </c>
      <c r="BB54" s="36">
        <v>0.94099999999999995</v>
      </c>
      <c r="BC54" s="40">
        <v>0.01</v>
      </c>
      <c r="BD54" s="69">
        <f t="shared" si="57"/>
        <v>0.32864806122056167</v>
      </c>
      <c r="BE54" s="69">
        <f t="shared" si="58"/>
        <v>4.1332374163124866E-2</v>
      </c>
      <c r="BF54" s="127">
        <f t="shared" si="59"/>
        <v>2.2979443727806945</v>
      </c>
      <c r="BG54" s="127">
        <f t="shared" si="60"/>
        <v>8.5420568285835163E-2</v>
      </c>
      <c r="BH54" s="127">
        <f t="shared" si="61"/>
        <v>0.7552149629070749</v>
      </c>
      <c r="BI54" s="127">
        <f t="shared" si="62"/>
        <v>9.0735849432994245E-2</v>
      </c>
    </row>
    <row r="55" spans="1:68" ht="14.25" x14ac:dyDescent="0.45">
      <c r="A55" t="s">
        <v>86</v>
      </c>
      <c r="B55" s="32">
        <f t="shared" si="34"/>
        <v>4026.6875910562221</v>
      </c>
      <c r="C55" s="32">
        <f t="shared" si="35"/>
        <v>2589.7490335148345</v>
      </c>
      <c r="D55" s="33"/>
      <c r="E55" s="46">
        <v>32.838134731680903</v>
      </c>
      <c r="G55">
        <v>537.44370828411502</v>
      </c>
      <c r="H55">
        <v>20.160488202555399</v>
      </c>
      <c r="I55">
        <v>52098432.432277702</v>
      </c>
      <c r="J55" s="2">
        <f t="shared" si="0"/>
        <v>1150957.8866061633</v>
      </c>
      <c r="K55">
        <v>2255877.4577480801</v>
      </c>
      <c r="L55">
        <v>35091954.7876397</v>
      </c>
      <c r="M55">
        <v>1444341.9813177199</v>
      </c>
      <c r="N55" s="36"/>
      <c r="O55" s="36"/>
      <c r="P55" s="36"/>
      <c r="Q55" s="36"/>
      <c r="R55" s="3">
        <f t="shared" si="1"/>
        <v>172.19839254021917</v>
      </c>
      <c r="S55" s="38">
        <f t="shared" si="2"/>
        <v>4.6607529284207843</v>
      </c>
      <c r="T55" s="77">
        <v>7.7771502705952553E-2</v>
      </c>
      <c r="U55" s="3">
        <f t="shared" si="50"/>
        <v>365.24531574389584</v>
      </c>
      <c r="V55" s="3">
        <f t="shared" si="3"/>
        <v>6.9903133675293185</v>
      </c>
      <c r="W55" s="18">
        <f t="shared" si="51"/>
        <v>16.090450999021613</v>
      </c>
      <c r="X55" s="39">
        <f t="shared" si="5"/>
        <v>1.0408235105573108E-5</v>
      </c>
      <c r="Y55" s="39">
        <f t="shared" si="6"/>
        <v>5.0795096188796395E-7</v>
      </c>
      <c r="Z55" s="38">
        <f t="shared" si="25"/>
        <v>0.67357026208524462</v>
      </c>
      <c r="AA55" s="38">
        <f t="shared" si="7"/>
        <v>1.4473295529052235E-2</v>
      </c>
      <c r="AB55" s="39">
        <f t="shared" si="8"/>
        <v>7.0106776479057226E-6</v>
      </c>
      <c r="AC55" s="39">
        <f t="shared" si="9"/>
        <v>3.4550585782316153E-7</v>
      </c>
      <c r="AD55" s="40"/>
      <c r="AE55" s="18">
        <f t="shared" si="10"/>
        <v>2.0910168032854597</v>
      </c>
      <c r="AF55" s="18">
        <f t="shared" si="26"/>
        <v>6.5280318736941623E-2</v>
      </c>
      <c r="AG55" s="18">
        <f t="shared" si="11"/>
        <v>1.9121217397688501</v>
      </c>
      <c r="AH55" s="18">
        <f t="shared" si="12"/>
        <v>9.423472239641574E-2</v>
      </c>
      <c r="AI55" s="18"/>
      <c r="AJ55" s="18">
        <f t="shared" si="13"/>
        <v>2.0910168032854597</v>
      </c>
      <c r="AK55" s="18">
        <f t="shared" si="27"/>
        <v>6.5280318736941623E-2</v>
      </c>
      <c r="AL55" s="18">
        <f t="shared" si="14"/>
        <v>1.2994728523520855</v>
      </c>
      <c r="AM55" s="18">
        <f t="shared" si="15"/>
        <v>6.4041666885645346E-2</v>
      </c>
      <c r="AN55" s="42">
        <f t="shared" si="52"/>
        <v>0.62145500232725059</v>
      </c>
      <c r="AO55" s="40">
        <f t="shared" si="53"/>
        <v>3.6255104497960058E-2</v>
      </c>
      <c r="AP55" s="40"/>
      <c r="AQ55" s="52"/>
      <c r="AR55" s="52"/>
      <c r="AT55" s="40">
        <f t="shared" si="63"/>
        <v>10.739903794272301</v>
      </c>
      <c r="AU55" s="62">
        <v>41.9</v>
      </c>
      <c r="AV55" s="62">
        <v>5.8</v>
      </c>
      <c r="AW55" s="126">
        <f t="shared" si="54"/>
        <v>45.167415549218227</v>
      </c>
      <c r="AX55" s="126">
        <f t="shared" si="55"/>
        <v>11.267939041692941</v>
      </c>
      <c r="AY55" s="126">
        <f t="shared" si="56"/>
        <v>10.211868546851662</v>
      </c>
      <c r="AZ55" s="36">
        <v>1.034</v>
      </c>
      <c r="BA55" s="36">
        <v>0.01</v>
      </c>
      <c r="BB55" s="36">
        <v>0.94099999999999995</v>
      </c>
      <c r="BC55" s="40">
        <v>0.01</v>
      </c>
      <c r="BD55" s="69">
        <f t="shared" si="57"/>
        <v>0.33913638008200692</v>
      </c>
      <c r="BE55" s="69">
        <f t="shared" si="58"/>
        <v>6.4879000905582324E-2</v>
      </c>
      <c r="BF55" s="127">
        <f t="shared" si="59"/>
        <v>1.0570168032854597</v>
      </c>
      <c r="BG55" s="127">
        <f t="shared" si="60"/>
        <v>6.6041805051018199E-2</v>
      </c>
      <c r="BH55" s="127">
        <f t="shared" si="61"/>
        <v>0.35847285235208559</v>
      </c>
      <c r="BI55" s="127">
        <f t="shared" si="62"/>
        <v>6.4817706666403768E-2</v>
      </c>
    </row>
    <row r="56" spans="1:68" ht="14.25" x14ac:dyDescent="0.45">
      <c r="A56" t="s">
        <v>87</v>
      </c>
      <c r="B56" s="32">
        <f t="shared" si="34"/>
        <v>4986.2622509732037</v>
      </c>
      <c r="C56" s="32">
        <f t="shared" si="35"/>
        <v>3068.4456847275337</v>
      </c>
      <c r="D56" s="33"/>
      <c r="E56" s="46">
        <v>25.082441839992399</v>
      </c>
      <c r="G56">
        <v>650.55408134084996</v>
      </c>
      <c r="H56">
        <v>47.692008436076101</v>
      </c>
      <c r="I56">
        <v>64513683.045325004</v>
      </c>
      <c r="J56" s="2">
        <f t="shared" si="0"/>
        <v>2670927.9697219543</v>
      </c>
      <c r="K56">
        <v>5235018.8206550302</v>
      </c>
      <c r="L56">
        <v>41578452.523117803</v>
      </c>
      <c r="M56">
        <v>2924316.86108936</v>
      </c>
      <c r="N56" s="36"/>
      <c r="O56" s="36"/>
      <c r="P56" s="36"/>
      <c r="Q56" s="36"/>
      <c r="R56" s="3">
        <f t="shared" si="1"/>
        <v>213.23391124473562</v>
      </c>
      <c r="S56" s="38">
        <f t="shared" si="2"/>
        <v>11.279176840512417</v>
      </c>
      <c r="T56" s="77">
        <v>9.4399725792478004E-2</v>
      </c>
      <c r="U56" s="3">
        <f t="shared" si="50"/>
        <v>437.32017009611434</v>
      </c>
      <c r="V56" s="3">
        <f t="shared" si="3"/>
        <v>16.35707493521636</v>
      </c>
      <c r="W56" s="18">
        <f t="shared" si="51"/>
        <v>26.668173778094307</v>
      </c>
      <c r="X56" s="39">
        <f t="shared" si="5"/>
        <v>1.0517952053481605E-5</v>
      </c>
      <c r="Y56" s="39">
        <f t="shared" si="6"/>
        <v>7.4420183915722743E-7</v>
      </c>
      <c r="Z56" s="38">
        <f t="shared" si="25"/>
        <v>0.64449044854416804</v>
      </c>
      <c r="AA56" s="38">
        <f t="shared" si="7"/>
        <v>2.4231533694478686E-2</v>
      </c>
      <c r="AB56" s="39">
        <f t="shared" si="8"/>
        <v>6.7787196367144135E-6</v>
      </c>
      <c r="AC56" s="39">
        <f t="shared" si="9"/>
        <v>4.9963845290807977E-7</v>
      </c>
      <c r="AD56" s="40"/>
      <c r="AE56" s="18">
        <f t="shared" si="10"/>
        <v>2.0007420655579442</v>
      </c>
      <c r="AF56" s="18">
        <f t="shared" si="26"/>
        <v>0.11044599369135444</v>
      </c>
      <c r="AG56" s="18">
        <f t="shared" si="11"/>
        <v>1.8691268748546532</v>
      </c>
      <c r="AH56" s="18">
        <f t="shared" si="12"/>
        <v>0.1377675593755549</v>
      </c>
      <c r="AI56" s="18"/>
      <c r="AJ56" s="18">
        <f t="shared" si="13"/>
        <v>2.0007420655579442</v>
      </c>
      <c r="AK56" s="18">
        <f t="shared" si="27"/>
        <v>0.11044599369135444</v>
      </c>
      <c r="AL56" s="18">
        <f t="shared" si="14"/>
        <v>1.2564779874378886</v>
      </c>
      <c r="AM56" s="18">
        <f t="shared" si="15"/>
        <v>9.2611105253027709E-2</v>
      </c>
      <c r="AN56" s="42">
        <f t="shared" si="52"/>
        <v>0.62800598291389265</v>
      </c>
      <c r="AO56" s="40">
        <f t="shared" si="53"/>
        <v>5.7831221438672566E-2</v>
      </c>
      <c r="AP56" s="40"/>
      <c r="AQ56" s="52"/>
      <c r="AR56" s="52"/>
      <c r="AT56" s="40">
        <f t="shared" si="63"/>
        <v>16.865532086896849</v>
      </c>
      <c r="AU56" s="62">
        <v>40.700000000000003</v>
      </c>
      <c r="AV56" s="62">
        <v>9.1999999999999993</v>
      </c>
      <c r="AW56" s="126">
        <f t="shared" si="54"/>
        <v>43.074697476569085</v>
      </c>
      <c r="AX56" s="126">
        <f t="shared" si="55"/>
        <v>18.164621895349782</v>
      </c>
      <c r="AY56" s="126">
        <f t="shared" si="56"/>
        <v>15.566442278443915</v>
      </c>
      <c r="AZ56" s="36">
        <v>1.034</v>
      </c>
      <c r="BA56" s="36">
        <v>0.01</v>
      </c>
      <c r="BB56" s="36">
        <v>0.94099999999999995</v>
      </c>
      <c r="BC56" s="40">
        <v>0.01</v>
      </c>
      <c r="BD56" s="69">
        <f>(AL56-BB56)/(AJ56-AZ56)</f>
        <v>0.32633108527848548</v>
      </c>
      <c r="BE56" s="69">
        <f>SQRT(BD56^2*((BG56^2/BF56^2)+(BI56^2/BH56^2)))</f>
        <v>0.10337030481497117</v>
      </c>
      <c r="BF56" s="127">
        <f t="shared" si="59"/>
        <v>0.96674206555794417</v>
      </c>
      <c r="BG56" s="127">
        <f>SQRT(BA56^2+AK56^2)</f>
        <v>0.11089777961019194</v>
      </c>
      <c r="BH56" s="127">
        <f>AL56-BB56</f>
        <v>0.31547798743788869</v>
      </c>
      <c r="BI56" s="127">
        <f>SQRT(BC56^2+AM56^2)</f>
        <v>9.3149432720695494E-2</v>
      </c>
    </row>
    <row r="57" spans="1:68" ht="14.25" x14ac:dyDescent="0.45">
      <c r="A57" t="s">
        <v>88</v>
      </c>
      <c r="B57" s="32">
        <f t="shared" si="34"/>
        <v>672.25711509160612</v>
      </c>
      <c r="C57" s="32">
        <f t="shared" si="35"/>
        <v>813.79894582102099</v>
      </c>
      <c r="D57" s="33"/>
      <c r="E57" s="46">
        <v>9.0449528307158698</v>
      </c>
      <c r="G57">
        <v>113.278965998532</v>
      </c>
      <c r="H57">
        <v>10.1524297995231</v>
      </c>
      <c r="I57">
        <v>8697854.2774238698</v>
      </c>
      <c r="J57" s="2">
        <f t="shared" si="0"/>
        <v>567005.43738305103</v>
      </c>
      <c r="K57">
        <v>1111330.6572707801</v>
      </c>
      <c r="L57">
        <v>11027244.5103382</v>
      </c>
      <c r="M57">
        <v>898304.96752637799</v>
      </c>
      <c r="N57" s="36"/>
      <c r="O57" s="36"/>
      <c r="P57" s="36"/>
      <c r="Q57" s="36"/>
      <c r="R57" s="3">
        <f t="shared" si="1"/>
        <v>28.748590988191069</v>
      </c>
      <c r="S57" s="38">
        <f t="shared" si="2"/>
        <v>1.8590719988332303</v>
      </c>
      <c r="T57" s="77">
        <v>7.3049212455639237E-2</v>
      </c>
      <c r="U57" s="3">
        <f t="shared" si="50"/>
        <v>84.530375010340933</v>
      </c>
      <c r="V57" s="3">
        <f t="shared" si="3"/>
        <v>3.8652487051166573</v>
      </c>
      <c r="W57" s="18">
        <f t="shared" si="51"/>
        <v>4.9865286241857536</v>
      </c>
      <c r="X57" s="39">
        <f t="shared" si="5"/>
        <v>7.6655936060085083E-6</v>
      </c>
      <c r="Y57" s="39">
        <f t="shared" si="6"/>
        <v>5.5316530835683666E-7</v>
      </c>
      <c r="Z57" s="38">
        <f t="shared" si="25"/>
        <v>1.2678120555503545</v>
      </c>
      <c r="AA57" s="38">
        <f t="shared" si="7"/>
        <v>5.8081045506662696E-2</v>
      </c>
      <c r="AB57" s="39">
        <f t="shared" si="8"/>
        <v>9.7185319866473026E-6</v>
      </c>
      <c r="AC57" s="39">
        <f t="shared" si="9"/>
        <v>8.5443281650391404E-7</v>
      </c>
      <c r="AD57" s="40"/>
      <c r="AE57" s="18">
        <f t="shared" si="10"/>
        <v>3.9357680420103915</v>
      </c>
      <c r="AF57" s="18">
        <f t="shared" si="26"/>
        <v>0.30543885310723867</v>
      </c>
      <c r="AG57" s="18">
        <f t="shared" si="11"/>
        <v>2.4140394398887017</v>
      </c>
      <c r="AH57" s="18">
        <f t="shared" si="12"/>
        <v>0.21223725153238929</v>
      </c>
      <c r="AI57" s="18"/>
      <c r="AJ57" s="18">
        <f t="shared" si="13"/>
        <v>3.9357680420103915</v>
      </c>
      <c r="AK57" s="18">
        <f t="shared" si="27"/>
        <v>0.30543885310723867</v>
      </c>
      <c r="AL57" s="18">
        <f t="shared" si="14"/>
        <v>1.8013905524719374</v>
      </c>
      <c r="AM57" s="18">
        <f t="shared" si="15"/>
        <v>0.15837445464879524</v>
      </c>
      <c r="AN57" s="42">
        <f t="shared" si="52"/>
        <v>0.45769733715094307</v>
      </c>
      <c r="AO57" s="40">
        <f t="shared" si="53"/>
        <v>5.3674126302376397E-2</v>
      </c>
      <c r="AP57" s="40"/>
      <c r="AQ57" s="52"/>
      <c r="AR57" s="52"/>
      <c r="AT57" s="40">
        <f t="shared" si="63"/>
        <v>9.7876066151438206</v>
      </c>
      <c r="AU57" s="62">
        <v>38.4</v>
      </c>
      <c r="AV57" s="62">
        <v>8.3000000000000007</v>
      </c>
      <c r="AW57" s="126">
        <f t="shared" si="54"/>
        <v>38.350733430469496</v>
      </c>
      <c r="AX57" s="126">
        <f t="shared" si="55"/>
        <v>10.226272390063919</v>
      </c>
      <c r="AY57" s="126">
        <f t="shared" si="56"/>
        <v>9.3489408402237224</v>
      </c>
      <c r="AZ57" s="36">
        <v>1.034</v>
      </c>
      <c r="BA57" s="36">
        <v>0.01</v>
      </c>
      <c r="BB57" s="36">
        <v>0.94099999999999995</v>
      </c>
      <c r="BC57" s="40">
        <v>0.01</v>
      </c>
      <c r="BD57" s="69">
        <f t="shared" si="57"/>
        <v>0.29650562691973309</v>
      </c>
      <c r="BE57" s="69">
        <f t="shared" si="58"/>
        <v>6.2974692923426695E-2</v>
      </c>
      <c r="BF57" s="127">
        <f t="shared" si="59"/>
        <v>2.9017680420103913</v>
      </c>
      <c r="BG57" s="127">
        <f t="shared" si="60"/>
        <v>0.30560250814982742</v>
      </c>
      <c r="BH57" s="127">
        <f t="shared" si="61"/>
        <v>0.86039055247193741</v>
      </c>
      <c r="BI57" s="127">
        <f t="shared" si="62"/>
        <v>0.15868984808519826</v>
      </c>
    </row>
    <row r="58" spans="1:68" x14ac:dyDescent="0.35">
      <c r="A58"/>
      <c r="B58" s="32"/>
      <c r="C58" s="32"/>
      <c r="D58" s="33"/>
      <c r="G58"/>
      <c r="H58"/>
      <c r="I58"/>
      <c r="K58"/>
      <c r="L58"/>
      <c r="M58"/>
      <c r="N58" s="36"/>
      <c r="O58" s="36"/>
      <c r="P58" s="36"/>
      <c r="Q58" s="36"/>
      <c r="S58" s="38"/>
      <c r="W58" s="18" t="e">
        <f t="shared" si="51"/>
        <v>#DIV/0!</v>
      </c>
      <c r="X58" s="39"/>
      <c r="Y58" s="39"/>
      <c r="Z58" s="38"/>
      <c r="AA58" s="38"/>
      <c r="AB58" s="39"/>
      <c r="AC58" s="39"/>
      <c r="AD58" s="40"/>
      <c r="AE58" s="18"/>
      <c r="AF58" s="18" t="e">
        <f t="shared" si="26"/>
        <v>#DIV/0!</v>
      </c>
      <c r="AG58" s="18"/>
      <c r="AH58" s="18"/>
      <c r="AI58" s="18"/>
      <c r="AJ58" s="18"/>
      <c r="AK58" s="18" t="e">
        <f t="shared" si="27"/>
        <v>#DIV/0!</v>
      </c>
      <c r="AL58" s="18"/>
      <c r="AM58" s="18"/>
      <c r="AN58" s="42"/>
      <c r="AO58" s="40"/>
      <c r="AP58" s="40"/>
      <c r="AQ58" s="52"/>
      <c r="AU58" s="62"/>
      <c r="AV58" s="62">
        <v>2</v>
      </c>
      <c r="AW58" s="126"/>
      <c r="AX58" s="126"/>
      <c r="AY58" s="126"/>
      <c r="AZ58" s="36"/>
      <c r="BA58" s="36"/>
      <c r="BB58" s="36"/>
      <c r="BC58" s="40"/>
      <c r="BD58" s="69"/>
      <c r="BE58" s="69"/>
      <c r="BF58" s="127"/>
      <c r="BG58" s="127"/>
      <c r="BH58" s="127"/>
      <c r="BI58" s="127"/>
      <c r="BO58" s="53"/>
      <c r="BP58" s="53"/>
    </row>
    <row r="59" spans="1:68" ht="15.75" x14ac:dyDescent="0.5">
      <c r="A59" s="31" t="s">
        <v>106</v>
      </c>
      <c r="B59" s="32"/>
      <c r="C59" s="32"/>
      <c r="D59" s="33"/>
      <c r="E59" s="50"/>
      <c r="G59" s="31"/>
      <c r="H59" s="31"/>
      <c r="I59" s="31"/>
      <c r="K59" s="31"/>
      <c r="L59" s="31"/>
      <c r="M59" s="31"/>
      <c r="N59" s="36"/>
      <c r="O59" s="36"/>
      <c r="P59" s="36"/>
      <c r="Q59" s="36"/>
      <c r="S59" s="38"/>
      <c r="W59" s="18" t="e">
        <f t="shared" si="51"/>
        <v>#DIV/0!</v>
      </c>
      <c r="X59" s="39"/>
      <c r="Y59" s="39"/>
      <c r="Z59" s="38"/>
      <c r="AA59" s="38"/>
      <c r="AB59" s="39"/>
      <c r="AC59" s="39"/>
      <c r="AD59" s="40"/>
      <c r="AE59" s="18"/>
      <c r="AF59" s="18" t="e">
        <f t="shared" si="26"/>
        <v>#DIV/0!</v>
      </c>
      <c r="AG59" s="18"/>
      <c r="AH59" s="18"/>
      <c r="AI59" s="18"/>
      <c r="AJ59" s="18"/>
      <c r="AK59" s="18" t="e">
        <f t="shared" si="27"/>
        <v>#DIV/0!</v>
      </c>
      <c r="AL59" s="18"/>
      <c r="AM59" s="18"/>
      <c r="AN59" s="42"/>
      <c r="AO59" s="40"/>
      <c r="AP59" s="40"/>
      <c r="AQ59" s="52"/>
      <c r="AW59" s="126"/>
      <c r="AX59" s="126"/>
      <c r="AY59" s="126"/>
      <c r="AZ59" s="36"/>
      <c r="BA59" s="36"/>
      <c r="BB59" s="36"/>
      <c r="BC59" s="40"/>
      <c r="BD59" s="69"/>
      <c r="BE59" s="69"/>
      <c r="BF59" s="127"/>
      <c r="BG59" s="127"/>
      <c r="BH59" s="127"/>
      <c r="BI59" s="127"/>
    </row>
    <row r="60" spans="1:68" ht="14.25" x14ac:dyDescent="0.45">
      <c r="A60" t="s">
        <v>89</v>
      </c>
      <c r="B60" s="32">
        <f t="shared" si="34"/>
        <v>3.8010470636818408E-2</v>
      </c>
      <c r="C60" s="32">
        <f t="shared" si="35"/>
        <v>3.4751238063437662E-2</v>
      </c>
      <c r="D60" s="33"/>
      <c r="E60" s="50">
        <v>-1.1548350165932599</v>
      </c>
      <c r="G60">
        <v>-0.83139229697346895</v>
      </c>
      <c r="H60">
        <v>1.5656365539722501</v>
      </c>
      <c r="I60">
        <v>491.790309382288</v>
      </c>
      <c r="J60" s="2">
        <f>K60/1.96</f>
        <v>112.13272493658879</v>
      </c>
      <c r="K60">
        <v>219.78014087571401</v>
      </c>
      <c r="L60">
        <v>470.89075395138002</v>
      </c>
      <c r="M60">
        <v>458.00710946706198</v>
      </c>
      <c r="N60" s="36"/>
      <c r="O60" s="36"/>
      <c r="P60" s="36"/>
      <c r="Q60" s="36"/>
      <c r="R60" s="3">
        <f t="shared" si="1"/>
        <v>1.625490380206096E-3</v>
      </c>
      <c r="S60" s="38">
        <f t="shared" si="2"/>
        <v>2.2086570521407732E-3</v>
      </c>
      <c r="T60" s="76">
        <v>76.135746240689699</v>
      </c>
      <c r="U60" s="3">
        <f>G60-(I60*$AT$2)</f>
        <v>-0.83301778735367504</v>
      </c>
      <c r="V60" s="3">
        <f>H60/G60*U60/1.96</f>
        <v>0.80035591656880767</v>
      </c>
      <c r="W60" s="18">
        <f t="shared" si="51"/>
        <v>-32.368279631539011</v>
      </c>
      <c r="X60" s="39">
        <f t="shared" si="5"/>
        <v>-1.7690255762373389E-3</v>
      </c>
      <c r="Y60" s="39">
        <f t="shared" si="6"/>
        <v>-6.874401106838561E-2</v>
      </c>
      <c r="Z60" s="38">
        <f t="shared" si="25"/>
        <v>0.95750311660846099</v>
      </c>
      <c r="AA60" s="38">
        <f t="shared" si="7"/>
        <v>0.52493482801565472</v>
      </c>
      <c r="AB60" s="39">
        <f t="shared" si="8"/>
        <v>-1.6938475026073306E-3</v>
      </c>
      <c r="AC60" s="39">
        <f t="shared" si="9"/>
        <v>-6.5818370709560897E-2</v>
      </c>
      <c r="AD60" s="40"/>
      <c r="AE60" s="18">
        <f t="shared" si="10"/>
        <v>2.9724517525880665</v>
      </c>
      <c r="AF60" s="18">
        <f t="shared" si="26"/>
        <v>1.6234396936563869</v>
      </c>
      <c r="AG60" s="18">
        <f t="shared" si="11"/>
        <v>-313.35255621941553</v>
      </c>
      <c r="AH60" s="18">
        <f t="shared" si="12"/>
        <v>-12176.03985972235</v>
      </c>
      <c r="AI60" s="18"/>
      <c r="AJ60" s="18">
        <f t="shared" si="13"/>
        <v>2.9724517525880665</v>
      </c>
      <c r="AK60" s="18">
        <f t="shared" si="27"/>
        <v>1.6234396936563869</v>
      </c>
      <c r="AL60" s="18">
        <f t="shared" si="14"/>
        <v>-313.96520510683229</v>
      </c>
      <c r="AM60" s="18">
        <f t="shared" si="15"/>
        <v>-12199.845752239076</v>
      </c>
      <c r="AN60" s="42">
        <f t="shared" si="52"/>
        <v>-105.62499621178637</v>
      </c>
      <c r="AO60" s="40">
        <f t="shared" si="53"/>
        <v>-4104.7094464754946</v>
      </c>
      <c r="AP60" s="40"/>
      <c r="AQ60" s="52"/>
      <c r="AW60" s="126"/>
      <c r="AX60" s="126"/>
      <c r="AY60" s="126"/>
      <c r="AZ60" s="36"/>
      <c r="BA60" s="36"/>
      <c r="BB60" s="36"/>
      <c r="BC60" s="40"/>
      <c r="BD60" s="69"/>
      <c r="BE60" s="69"/>
      <c r="BF60" s="127"/>
      <c r="BG60" s="127"/>
      <c r="BH60" s="127"/>
      <c r="BI60" s="127"/>
    </row>
    <row r="61" spans="1:68" ht="14.25" x14ac:dyDescent="0.45">
      <c r="A61" t="s">
        <v>90</v>
      </c>
      <c r="B61" s="32">
        <f>(30*I61)/MEDIAN($I$6:$I$17)</f>
        <v>4.2454626569398052E-2</v>
      </c>
      <c r="C61" s="32">
        <f t="shared" si="35"/>
        <v>3.7449946806991881E-2</v>
      </c>
      <c r="D61" s="33"/>
      <c r="E61" s="50">
        <v>1.9393031081962799</v>
      </c>
      <c r="G61">
        <v>1.49962699781264</v>
      </c>
      <c r="H61">
        <v>1.0513156981893901</v>
      </c>
      <c r="I61">
        <v>549.29006627583794</v>
      </c>
      <c r="J61" s="2">
        <f t="shared" si="0"/>
        <v>96.81204168750358</v>
      </c>
      <c r="K61">
        <v>189.75160170750701</v>
      </c>
      <c r="L61">
        <v>507.45914879899999</v>
      </c>
      <c r="M61">
        <v>188.96890717613601</v>
      </c>
      <c r="N61" s="36"/>
      <c r="O61" s="36"/>
      <c r="P61" s="36"/>
      <c r="Q61" s="36"/>
      <c r="R61" s="3">
        <f t="shared" si="1"/>
        <v>1.8155415054754709E-3</v>
      </c>
      <c r="S61" s="38">
        <f t="shared" si="2"/>
        <v>9.1836433039941417E-4</v>
      </c>
      <c r="T61" s="76">
        <v>77.135746240689699</v>
      </c>
      <c r="U61" s="3">
        <f t="shared" ref="U61:U64" si="64">G61-(I61*$AT$2)</f>
        <v>1.4978114563071645</v>
      </c>
      <c r="V61" s="3">
        <f t="shared" si="3"/>
        <v>0.53573617865508394</v>
      </c>
      <c r="W61" s="18">
        <f>SQRT((V61/U61)^2+($W$83)^2+(T61/1.96)^2)*U61</f>
        <v>58.948763260747135</v>
      </c>
      <c r="X61" s="39">
        <f t="shared" si="5"/>
        <v>2.9515902114525365E-3</v>
      </c>
      <c r="Y61" s="39">
        <f t="shared" si="6"/>
        <v>0.11616590275008294</v>
      </c>
      <c r="Z61" s="38">
        <f t="shared" si="25"/>
        <v>0.92384548702937652</v>
      </c>
      <c r="AA61" s="38">
        <f t="shared" si="7"/>
        <v>0.2042205913894764</v>
      </c>
      <c r="AB61" s="39">
        <f t="shared" si="8"/>
        <v>2.7268132964105088E-3</v>
      </c>
      <c r="AC61" s="39">
        <f t="shared" si="9"/>
        <v>0.10731917065746513</v>
      </c>
      <c r="AD61" s="40"/>
      <c r="AE61" s="18">
        <f t="shared" si="10"/>
        <v>2.8679657427830247</v>
      </c>
      <c r="AF61" s="18">
        <f t="shared" si="26"/>
        <v>0.7434953173218658</v>
      </c>
      <c r="AG61" s="18">
        <f t="shared" si="11"/>
        <v>506.04451012506348</v>
      </c>
      <c r="AH61" s="18">
        <f t="shared" si="12"/>
        <v>19916.390027096732</v>
      </c>
      <c r="AI61" s="18"/>
      <c r="AJ61" s="18">
        <f t="shared" si="13"/>
        <v>2.8679657427830247</v>
      </c>
      <c r="AK61" s="18">
        <f t="shared" si="27"/>
        <v>0.7434953173218658</v>
      </c>
      <c r="AL61" s="18">
        <f t="shared" si="14"/>
        <v>505.43186123764679</v>
      </c>
      <c r="AM61" s="18">
        <f t="shared" si="15"/>
        <v>19892.278009384216</v>
      </c>
      <c r="AN61" s="42">
        <f t="shared" si="52"/>
        <v>176.23357688616753</v>
      </c>
      <c r="AO61" s="40">
        <f t="shared" si="53"/>
        <v>6936.1740435661959</v>
      </c>
      <c r="AP61" s="40"/>
      <c r="AQ61" s="52"/>
      <c r="AW61" s="126"/>
      <c r="AX61" s="126"/>
      <c r="AY61" s="126"/>
      <c r="AZ61" s="36"/>
      <c r="BA61" s="36"/>
      <c r="BB61" s="36"/>
      <c r="BC61" s="40"/>
      <c r="BD61" s="69"/>
      <c r="BE61" s="69"/>
      <c r="BF61" s="127"/>
      <c r="BG61" s="127"/>
      <c r="BH61" s="127"/>
      <c r="BI61" s="127"/>
    </row>
    <row r="62" spans="1:68" ht="14.25" x14ac:dyDescent="0.45">
      <c r="A62" t="s">
        <v>91</v>
      </c>
      <c r="B62" s="32">
        <f t="shared" si="34"/>
        <v>2.5336089481135499E-2</v>
      </c>
      <c r="C62" s="32">
        <f t="shared" si="35"/>
        <v>3.1345232242081439E-2</v>
      </c>
      <c r="D62" s="33"/>
      <c r="E62" s="50">
        <v>-0.59170173605077703</v>
      </c>
      <c r="G62">
        <v>-0.66924471563731003</v>
      </c>
      <c r="H62">
        <v>2.05479717428749</v>
      </c>
      <c r="I62">
        <v>327.80555135762199</v>
      </c>
      <c r="J62" s="2">
        <f t="shared" si="0"/>
        <v>153.99309936826276</v>
      </c>
      <c r="K62">
        <v>301.826474761795</v>
      </c>
      <c r="L62">
        <v>424.73825008221098</v>
      </c>
      <c r="M62">
        <v>269.17317572962099</v>
      </c>
      <c r="N62" s="36"/>
      <c r="O62" s="36"/>
      <c r="P62" s="36"/>
      <c r="Q62" s="36"/>
      <c r="R62" s="3">
        <f t="shared" si="1"/>
        <v>1.0834796053205142E-3</v>
      </c>
      <c r="S62" s="38">
        <f t="shared" si="2"/>
        <v>2.4002897827707535E-3</v>
      </c>
      <c r="T62" s="76">
        <v>78.135746240689699</v>
      </c>
      <c r="U62" s="3">
        <f t="shared" si="64"/>
        <v>-0.67032819524263054</v>
      </c>
      <c r="V62" s="3">
        <f t="shared" si="3"/>
        <v>1.0500631664309292</v>
      </c>
      <c r="W62" s="18">
        <f t="shared" si="51"/>
        <v>-26.743374932566923</v>
      </c>
      <c r="X62" s="39">
        <f t="shared" si="5"/>
        <v>-1.5782148066788991E-3</v>
      </c>
      <c r="Y62" s="39">
        <f t="shared" si="6"/>
        <v>-6.2966434508656827E-2</v>
      </c>
      <c r="Z62" s="38">
        <f t="shared" si="25"/>
        <v>1.2957018217755547</v>
      </c>
      <c r="AA62" s="38">
        <f t="shared" si="7"/>
        <v>0.70488735193432039</v>
      </c>
      <c r="AB62" s="39">
        <f t="shared" si="8"/>
        <v>-2.0448958001670044E-3</v>
      </c>
      <c r="AC62" s="39">
        <f t="shared" si="9"/>
        <v>-8.1588700100899081E-2</v>
      </c>
      <c r="AD62" s="40"/>
      <c r="AE62" s="18">
        <f t="shared" si="10"/>
        <v>4.0223484228544866</v>
      </c>
      <c r="AF62" s="18">
        <f t="shared" si="26"/>
        <v>2.2940629360049605</v>
      </c>
      <c r="AG62" s="18">
        <f t="shared" si="11"/>
        <v>-378.42154889796007</v>
      </c>
      <c r="AH62" s="18">
        <f t="shared" si="12"/>
        <v>-15098.530821097027</v>
      </c>
      <c r="AI62" s="18"/>
      <c r="AJ62" s="18">
        <f t="shared" si="13"/>
        <v>4.0223484228544866</v>
      </c>
      <c r="AK62" s="18">
        <f t="shared" si="27"/>
        <v>2.2940629360049605</v>
      </c>
      <c r="AL62" s="18">
        <f t="shared" si="14"/>
        <v>-379.03419778537676</v>
      </c>
      <c r="AM62" s="18">
        <f t="shared" si="15"/>
        <v>-15122.974720066602</v>
      </c>
      <c r="AN62" s="42">
        <f t="shared" si="52"/>
        <v>-94.232064937923155</v>
      </c>
      <c r="AO62" s="40">
        <f t="shared" si="53"/>
        <v>-3760.1217237200372</v>
      </c>
      <c r="AP62" s="40"/>
      <c r="AW62" s="126"/>
      <c r="AX62" s="126"/>
      <c r="AY62" s="126"/>
      <c r="AZ62" s="36"/>
      <c r="BA62" s="36"/>
      <c r="BB62" s="36"/>
      <c r="BC62" s="40"/>
      <c r="BD62" s="69"/>
      <c r="BE62" s="69"/>
      <c r="BF62" s="127"/>
      <c r="BG62" s="127"/>
      <c r="BH62" s="127"/>
      <c r="BI62" s="127"/>
    </row>
    <row r="63" spans="1:68" ht="14.25" x14ac:dyDescent="0.45">
      <c r="A63" t="s">
        <v>92</v>
      </c>
      <c r="B63" s="32">
        <f t="shared" si="34"/>
        <v>5.1500628342438008E-2</v>
      </c>
      <c r="C63" s="32">
        <f t="shared" si="35"/>
        <v>2.003876448630515E-2</v>
      </c>
      <c r="D63" s="33"/>
      <c r="E63" s="50">
        <v>-3.3937432500084701</v>
      </c>
      <c r="G63">
        <v>-0.62539509214072597</v>
      </c>
      <c r="H63">
        <v>4.2066817160443497</v>
      </c>
      <c r="I63">
        <v>666.329817063002</v>
      </c>
      <c r="J63" s="2">
        <f t="shared" si="0"/>
        <v>101.96799917734745</v>
      </c>
      <c r="K63">
        <v>199.85727838760101</v>
      </c>
      <c r="L63">
        <v>271.53187751138603</v>
      </c>
      <c r="M63">
        <v>270.093806377654</v>
      </c>
      <c r="N63" s="36"/>
      <c r="O63" s="36"/>
      <c r="P63" s="36"/>
      <c r="Q63" s="36"/>
      <c r="R63" s="3">
        <f t="shared" si="1"/>
        <v>2.2023872512674236E-3</v>
      </c>
      <c r="S63" s="38">
        <f t="shared" si="2"/>
        <v>1.0689017695636295E-2</v>
      </c>
      <c r="T63" s="76">
        <v>79.135746240689699</v>
      </c>
      <c r="U63" s="3">
        <f t="shared" si="64"/>
        <v>-0.6275974793919934</v>
      </c>
      <c r="V63" s="3">
        <f t="shared" si="3"/>
        <v>2.153824458552088</v>
      </c>
      <c r="W63" s="18">
        <f t="shared" si="51"/>
        <v>-25.430858622609858</v>
      </c>
      <c r="X63" s="39">
        <f t="shared" si="5"/>
        <v>-2.3113215477459977E-3</v>
      </c>
      <c r="Y63" s="39">
        <f t="shared" si="6"/>
        <v>-9.3664336343143709E-2</v>
      </c>
      <c r="Z63" s="38">
        <f t="shared" si="25"/>
        <v>0.40750371746565933</v>
      </c>
      <c r="AA63" s="38">
        <f t="shared" si="7"/>
        <v>0.21635184995372023</v>
      </c>
      <c r="AB63" s="39">
        <f t="shared" si="8"/>
        <v>-9.418721229649754E-4</v>
      </c>
      <c r="AC63" s="39">
        <f t="shared" si="9"/>
        <v>-3.8165844184118447E-2</v>
      </c>
      <c r="AD63" s="40"/>
      <c r="AE63" s="18">
        <f t="shared" si="10"/>
        <v>1.2650456360470168</v>
      </c>
      <c r="AF63" s="18">
        <f t="shared" si="26"/>
        <v>0.67061958405457167</v>
      </c>
      <c r="AG63" s="18">
        <f t="shared" si="11"/>
        <v>-173.96922688115947</v>
      </c>
      <c r="AH63" s="18">
        <f t="shared" si="12"/>
        <v>-7049.4520902438753</v>
      </c>
      <c r="AI63" s="18"/>
      <c r="AJ63" s="18">
        <f t="shared" si="13"/>
        <v>1.2650456360470168</v>
      </c>
      <c r="AK63" s="18">
        <f t="shared" si="27"/>
        <v>0.67061958405457167</v>
      </c>
      <c r="AL63" s="18">
        <f t="shared" si="14"/>
        <v>-174.5818757685762</v>
      </c>
      <c r="AM63" s="18">
        <f t="shared" si="15"/>
        <v>-7074.277394450899</v>
      </c>
      <c r="AN63" s="42">
        <f t="shared" si="52"/>
        <v>-138.00440932242199</v>
      </c>
      <c r="AO63" s="40">
        <f t="shared" si="53"/>
        <v>-5592.5909267618035</v>
      </c>
      <c r="AP63" s="40"/>
      <c r="AQ63" s="40"/>
      <c r="AW63" s="126"/>
      <c r="AX63" s="126"/>
      <c r="AY63" s="126"/>
      <c r="AZ63" s="36"/>
      <c r="BA63" s="36"/>
      <c r="BB63" s="36"/>
      <c r="BC63" s="40"/>
      <c r="BD63" s="69"/>
      <c r="BE63" s="69"/>
      <c r="BF63" s="127"/>
      <c r="BG63" s="127"/>
      <c r="BH63" s="127"/>
      <c r="BI63" s="127"/>
    </row>
    <row r="64" spans="1:68" ht="14.25" x14ac:dyDescent="0.45">
      <c r="A64" t="s">
        <v>93</v>
      </c>
      <c r="B64" s="32">
        <f t="shared" si="34"/>
        <v>5.1454312777117012E-2</v>
      </c>
      <c r="C64" s="32">
        <f t="shared" si="35"/>
        <v>4.3117550288106987E-2</v>
      </c>
      <c r="D64" s="33"/>
      <c r="E64" s="50">
        <v>7.1848551301579704</v>
      </c>
      <c r="G64">
        <v>3.0644800456781498</v>
      </c>
      <c r="H64">
        <v>4.9080687037285999</v>
      </c>
      <c r="I64">
        <v>665.73057307004899</v>
      </c>
      <c r="J64" s="2">
        <f t="shared" si="0"/>
        <v>119.3621119594648</v>
      </c>
      <c r="K64">
        <v>233.94973944055101</v>
      </c>
      <c r="L64">
        <v>584.257047954359</v>
      </c>
      <c r="M64">
        <v>216.179694199409</v>
      </c>
      <c r="N64" s="36"/>
      <c r="O64" s="36"/>
      <c r="P64" s="36"/>
      <c r="Q64" s="36"/>
      <c r="R64" s="3">
        <f t="shared" si="1"/>
        <v>2.2004065994991606E-3</v>
      </c>
      <c r="S64" s="38">
        <f t="shared" si="2"/>
        <v>2.5428204817939544E-3</v>
      </c>
      <c r="T64" s="76">
        <v>80.135746240689699</v>
      </c>
      <c r="U64" s="3">
        <f t="shared" si="64"/>
        <v>3.0622796390786506</v>
      </c>
      <c r="V64" s="3">
        <f t="shared" si="3"/>
        <v>2.5023186399697996</v>
      </c>
      <c r="W64" s="18">
        <f t="shared" si="51"/>
        <v>125.22809718549195</v>
      </c>
      <c r="X64" s="39">
        <f t="shared" si="5"/>
        <v>5.2413225476706099E-3</v>
      </c>
      <c r="Y64" s="39">
        <f t="shared" si="6"/>
        <v>0.21433961637324131</v>
      </c>
      <c r="Z64" s="38">
        <f t="shared" si="25"/>
        <v>0.87761787063500651</v>
      </c>
      <c r="AA64" s="38">
        <f t="shared" si="7"/>
        <v>0.19388876788843115</v>
      </c>
      <c r="AB64" s="39">
        <f t="shared" si="8"/>
        <v>4.5998783335979279E-3</v>
      </c>
      <c r="AC64" s="39">
        <f t="shared" si="9"/>
        <v>0.18810808137396151</v>
      </c>
      <c r="AD64" s="40"/>
      <c r="AE64" s="18">
        <f t="shared" si="10"/>
        <v>2.724457740578158</v>
      </c>
      <c r="AF64" s="18">
        <f t="shared" si="26"/>
        <v>0.70956302212453393</v>
      </c>
      <c r="AG64" s="18">
        <f t="shared" si="11"/>
        <v>853.22880367791311</v>
      </c>
      <c r="AH64" s="18">
        <f t="shared" si="12"/>
        <v>34892.060527025635</v>
      </c>
      <c r="AI64" s="18"/>
      <c r="AJ64" s="18">
        <f t="shared" si="13"/>
        <v>2.724457740578158</v>
      </c>
      <c r="AK64" s="18">
        <f t="shared" si="27"/>
        <v>0.70956302212453393</v>
      </c>
      <c r="AL64" s="18">
        <f t="shared" si="14"/>
        <v>852.61615479049624</v>
      </c>
      <c r="AM64" s="18">
        <f t="shared" si="15"/>
        <v>34867.006775945709</v>
      </c>
      <c r="AN64" s="42">
        <f t="shared" si="52"/>
        <v>312.94893735792073</v>
      </c>
      <c r="AO64" s="40">
        <f t="shared" si="53"/>
        <v>12798.038066442266</v>
      </c>
      <c r="AP64" s="40"/>
      <c r="AQ64" s="40"/>
      <c r="AW64" s="126"/>
      <c r="AX64" s="126"/>
      <c r="AY64" s="126"/>
      <c r="AZ64" s="36"/>
      <c r="BA64" s="36"/>
      <c r="BB64" s="36"/>
      <c r="BC64" s="40"/>
      <c r="BD64" s="69"/>
      <c r="BE64" s="69"/>
      <c r="BF64" s="127"/>
      <c r="BG64" s="127"/>
      <c r="BH64" s="127"/>
      <c r="BI64" s="127"/>
    </row>
    <row r="65" spans="1:65" ht="13.5" x14ac:dyDescent="0.35">
      <c r="A65"/>
      <c r="B65" s="32"/>
      <c r="C65" s="32"/>
      <c r="D65" s="33"/>
      <c r="G65"/>
      <c r="H65"/>
      <c r="I65"/>
      <c r="K65"/>
      <c r="L65"/>
      <c r="M65"/>
      <c r="N65" s="36"/>
      <c r="O65" s="36"/>
      <c r="P65" s="36"/>
      <c r="Q65" s="36"/>
      <c r="S65" s="38"/>
      <c r="W65" s="18"/>
      <c r="X65" s="39"/>
      <c r="Y65" s="39"/>
      <c r="Z65" s="38"/>
      <c r="AA65" s="38"/>
      <c r="AB65" s="39"/>
      <c r="AC65" s="39"/>
      <c r="AD65" s="40"/>
      <c r="AE65" s="18"/>
      <c r="AF65" s="18"/>
      <c r="AG65" s="18"/>
      <c r="AH65" s="18"/>
      <c r="AI65" s="18"/>
      <c r="AJ65" s="18"/>
      <c r="AK65" s="18"/>
      <c r="AL65" s="18"/>
      <c r="AM65" s="18"/>
      <c r="AN65" s="42"/>
      <c r="AO65" s="40"/>
      <c r="AP65" s="40"/>
      <c r="AQ65" s="40"/>
      <c r="AW65" s="126"/>
      <c r="AX65" s="126"/>
      <c r="AY65" s="126"/>
      <c r="AZ65" s="36"/>
      <c r="BA65" s="36"/>
      <c r="BB65" s="36"/>
      <c r="BC65" s="40"/>
      <c r="BD65" s="69"/>
      <c r="BE65" s="69"/>
      <c r="BF65" s="127"/>
      <c r="BG65" s="127"/>
      <c r="BH65" s="127"/>
      <c r="BI65" s="127"/>
    </row>
    <row r="66" spans="1:65" ht="15.75" x14ac:dyDescent="0.5">
      <c r="A66" s="31"/>
      <c r="B66" s="32"/>
      <c r="C66" s="32"/>
      <c r="D66" s="33"/>
      <c r="G66" s="31"/>
      <c r="H66" s="31"/>
      <c r="I66" s="31"/>
      <c r="K66" s="31"/>
      <c r="L66" s="31"/>
      <c r="M66" s="31"/>
      <c r="N66" s="36"/>
      <c r="O66" s="36"/>
      <c r="P66" s="36"/>
      <c r="Q66" s="36"/>
      <c r="S66" s="38"/>
      <c r="W66" s="18"/>
      <c r="X66" s="39"/>
      <c r="Y66" s="39"/>
      <c r="Z66" s="38"/>
      <c r="AA66" s="38"/>
      <c r="AB66" s="39"/>
      <c r="AC66" s="39"/>
      <c r="AD66" s="40"/>
      <c r="AE66" s="18"/>
      <c r="AF66" s="18"/>
      <c r="AG66" s="18"/>
      <c r="AH66" s="18"/>
      <c r="AI66" s="18"/>
      <c r="AJ66" s="18"/>
      <c r="AK66" s="18"/>
      <c r="AL66" s="18"/>
      <c r="AM66" s="18"/>
      <c r="AN66" s="42"/>
      <c r="AO66" s="40"/>
      <c r="AP66" s="40"/>
      <c r="AQ66" s="40"/>
      <c r="AW66" s="126"/>
      <c r="AX66" s="126"/>
      <c r="AY66" s="126"/>
      <c r="AZ66" s="36"/>
      <c r="BA66" s="36"/>
      <c r="BB66" s="36"/>
      <c r="BC66" s="40"/>
      <c r="BD66" s="69"/>
      <c r="BE66" s="69"/>
      <c r="BF66" s="127"/>
      <c r="BG66" s="127"/>
      <c r="BH66" s="127"/>
      <c r="BI66" s="127"/>
    </row>
    <row r="67" spans="1:65" ht="13.5" x14ac:dyDescent="0.35">
      <c r="A67"/>
      <c r="B67" s="32"/>
      <c r="C67" s="32"/>
      <c r="D67" s="33"/>
      <c r="G67"/>
      <c r="H67"/>
      <c r="I67"/>
      <c r="K67"/>
      <c r="L67"/>
      <c r="M67"/>
      <c r="N67" s="36"/>
      <c r="O67" s="36"/>
      <c r="P67" s="36"/>
      <c r="Q67" s="36"/>
      <c r="S67" s="38"/>
      <c r="W67" s="18"/>
      <c r="X67" s="39"/>
      <c r="Y67" s="39"/>
      <c r="Z67" s="38"/>
      <c r="AA67" s="38"/>
      <c r="AB67" s="39"/>
      <c r="AC67" s="39"/>
      <c r="AD67" s="40"/>
      <c r="AE67" s="18"/>
      <c r="AF67" s="18"/>
      <c r="AG67" s="18"/>
      <c r="AH67" s="18"/>
      <c r="AI67" s="18"/>
      <c r="AJ67" s="18"/>
      <c r="AK67" s="18"/>
      <c r="AL67" s="18"/>
      <c r="AM67" s="18"/>
      <c r="AN67" s="42"/>
      <c r="AO67" s="40"/>
      <c r="AP67" s="40"/>
      <c r="AQ67" s="40"/>
      <c r="AW67" s="126"/>
      <c r="AX67" s="126"/>
      <c r="AY67" s="126"/>
      <c r="AZ67" s="36"/>
      <c r="BA67" s="36"/>
      <c r="BB67" s="36"/>
      <c r="BC67" s="40"/>
      <c r="BD67" s="69"/>
      <c r="BE67" s="69"/>
      <c r="BF67" s="127"/>
      <c r="BG67" s="127"/>
      <c r="BH67" s="127"/>
      <c r="BI67" s="127"/>
    </row>
    <row r="68" spans="1:65" ht="14.25" x14ac:dyDescent="0.45">
      <c r="A68"/>
      <c r="B68" s="32"/>
      <c r="C68" s="32"/>
      <c r="D68" s="33"/>
      <c r="E68" s="122"/>
      <c r="G68"/>
      <c r="H68"/>
      <c r="I68"/>
      <c r="K68"/>
      <c r="L68"/>
      <c r="M68"/>
      <c r="N68" s="36"/>
      <c r="O68" s="36"/>
      <c r="P68" s="36"/>
      <c r="Q68" s="36"/>
      <c r="S68" s="38"/>
      <c r="W68" s="18"/>
      <c r="X68" s="39"/>
      <c r="Y68" s="39"/>
      <c r="Z68" s="38"/>
      <c r="AA68" s="38"/>
      <c r="AB68" s="39"/>
      <c r="AC68" s="39"/>
      <c r="AD68" s="40"/>
      <c r="AE68" s="18"/>
      <c r="AF68" s="18"/>
      <c r="AG68" s="18"/>
      <c r="AH68" s="18"/>
      <c r="AI68" s="18"/>
      <c r="AJ68" s="18"/>
      <c r="AK68" s="18"/>
      <c r="AL68" s="18"/>
      <c r="AM68" s="18"/>
      <c r="AN68" s="42"/>
      <c r="AO68" s="40"/>
      <c r="AP68" s="40"/>
      <c r="AQ68" s="40"/>
      <c r="AW68" s="126"/>
      <c r="AX68" s="126"/>
      <c r="AY68" s="126"/>
      <c r="AZ68" s="36"/>
      <c r="BA68" s="36"/>
      <c r="BB68" s="36"/>
      <c r="BC68" s="40"/>
      <c r="BD68" s="69"/>
      <c r="BE68" s="69"/>
      <c r="BF68" s="127"/>
      <c r="BG68" s="127"/>
      <c r="BH68" s="127"/>
      <c r="BI68" s="127"/>
    </row>
    <row r="69" spans="1:65" ht="14.25" x14ac:dyDescent="0.45">
      <c r="A69"/>
      <c r="B69" s="32"/>
      <c r="C69" s="32"/>
      <c r="D69" s="33"/>
      <c r="E69" s="46"/>
      <c r="G69"/>
      <c r="H69"/>
      <c r="I69"/>
      <c r="K69"/>
      <c r="L69"/>
      <c r="M69"/>
      <c r="N69" s="36"/>
      <c r="O69" s="36"/>
      <c r="P69" s="36"/>
      <c r="Q69" s="36"/>
      <c r="S69" s="38"/>
      <c r="W69" s="18"/>
      <c r="X69" s="39"/>
      <c r="Y69" s="39"/>
      <c r="Z69" s="38"/>
      <c r="AA69" s="38"/>
      <c r="AB69" s="39"/>
      <c r="AC69" s="39"/>
      <c r="AD69" s="40"/>
      <c r="AE69" s="18"/>
      <c r="AF69" s="18"/>
      <c r="AG69" s="18"/>
      <c r="AH69" s="18"/>
      <c r="AI69" s="18"/>
      <c r="AJ69" s="18"/>
      <c r="AK69" s="18"/>
      <c r="AL69" s="18"/>
      <c r="AM69" s="18"/>
      <c r="AN69" s="42"/>
      <c r="AO69" s="40"/>
      <c r="AP69" s="40"/>
      <c r="AQ69" s="40"/>
      <c r="AW69" s="126"/>
      <c r="AX69" s="126"/>
      <c r="AY69" s="126"/>
      <c r="AZ69" s="36"/>
      <c r="BA69" s="36"/>
      <c r="BB69" s="36"/>
      <c r="BC69" s="40"/>
      <c r="BD69" s="69"/>
      <c r="BE69" s="69"/>
      <c r="BF69" s="127"/>
      <c r="BG69" s="127"/>
      <c r="BH69" s="127"/>
      <c r="BI69" s="127"/>
    </row>
    <row r="70" spans="1:65" x14ac:dyDescent="0.4">
      <c r="A70"/>
      <c r="B70" s="32"/>
      <c r="C70" s="32"/>
      <c r="D70" s="1"/>
      <c r="E70" s="1"/>
      <c r="F70" s="1"/>
      <c r="G70" s="1"/>
      <c r="H70" s="1"/>
      <c r="I70" s="1"/>
      <c r="J70" s="1"/>
      <c r="K70" s="1"/>
      <c r="L70" s="22"/>
      <c r="M70" s="1"/>
      <c r="N70" s="43"/>
      <c r="O70" s="44"/>
      <c r="R70" s="45"/>
      <c r="S70" s="45"/>
      <c r="T70" s="12"/>
      <c r="U70" s="12"/>
      <c r="V70" s="12"/>
      <c r="W70" s="12"/>
      <c r="Y70" s="39"/>
      <c r="Z70" s="38"/>
      <c r="AA70" s="38"/>
      <c r="AB70" s="39"/>
      <c r="AC70" s="39"/>
      <c r="AD70" s="40"/>
      <c r="AE70" s="18"/>
      <c r="AF70" s="18"/>
      <c r="AG70" s="18"/>
      <c r="AH70" s="18"/>
      <c r="AI70" s="18"/>
      <c r="AJ70" s="18"/>
      <c r="AK70" s="18"/>
      <c r="AL70" s="18"/>
      <c r="AM70" s="18"/>
      <c r="AN70" s="42"/>
      <c r="AO70" s="40"/>
      <c r="AP70" s="40"/>
      <c r="AQ70" s="40"/>
      <c r="AW70" s="126"/>
      <c r="AX70" s="126"/>
      <c r="AY70" s="126"/>
      <c r="AZ70" s="36"/>
      <c r="BA70" s="36"/>
      <c r="BB70" s="36"/>
      <c r="BC70" s="40"/>
      <c r="BD70" s="69"/>
      <c r="BE70" s="69"/>
      <c r="BF70" s="127"/>
      <c r="BG70" s="127"/>
      <c r="BH70" s="127"/>
      <c r="BI70" s="127"/>
    </row>
    <row r="71" spans="1:65" ht="20.65" thickBot="1" x14ac:dyDescent="0.4">
      <c r="A71"/>
      <c r="B71" s="32"/>
      <c r="C71" s="32"/>
      <c r="D71" s="72"/>
      <c r="E71" s="80" t="s">
        <v>103</v>
      </c>
      <c r="F71" s="81"/>
      <c r="G71" s="82"/>
      <c r="H71" s="82"/>
      <c r="I71" s="83"/>
      <c r="J71" s="12"/>
      <c r="M71" s="40"/>
      <c r="O71" s="37"/>
      <c r="P71" s="37"/>
      <c r="R71" s="12"/>
      <c r="S71" s="12"/>
      <c r="T71" s="12"/>
      <c r="U71" s="12"/>
      <c r="V71" s="12"/>
      <c r="W71" s="12"/>
      <c r="Y71" s="39"/>
      <c r="Z71" s="38"/>
      <c r="AA71" s="38"/>
      <c r="AB71" s="39"/>
      <c r="AC71" s="39"/>
      <c r="AD71" s="40"/>
      <c r="AE71" s="18"/>
      <c r="AF71" s="18"/>
      <c r="AG71" s="18"/>
      <c r="AH71" s="18"/>
      <c r="AI71" s="18"/>
      <c r="AJ71" s="18"/>
      <c r="AK71" s="18"/>
      <c r="AL71" s="18"/>
      <c r="AM71" s="18"/>
      <c r="AN71" s="42"/>
      <c r="AO71" s="40"/>
      <c r="AP71" s="40"/>
      <c r="AQ71" s="40"/>
      <c r="AR71" s="40"/>
      <c r="AS71" s="40"/>
      <c r="AT71" s="40"/>
      <c r="AU71" s="40"/>
      <c r="AV71" s="40"/>
      <c r="AW71" s="126"/>
      <c r="AX71" s="126"/>
      <c r="AY71" s="126"/>
      <c r="AZ71" s="36"/>
      <c r="BA71" s="36"/>
      <c r="BB71" s="36"/>
      <c r="BC71" s="40"/>
      <c r="BD71" s="69"/>
      <c r="BE71" s="69"/>
      <c r="BF71" s="127"/>
      <c r="BG71" s="127"/>
      <c r="BH71" s="127"/>
      <c r="BI71" s="127"/>
      <c r="BL71" s="40"/>
      <c r="BM71" s="40"/>
    </row>
    <row r="72" spans="1:65" ht="13.5" x14ac:dyDescent="0.35">
      <c r="A72"/>
      <c r="B72" s="32"/>
      <c r="C72" s="32"/>
      <c r="D72" s="40"/>
      <c r="E72" s="84"/>
      <c r="F72" s="85"/>
      <c r="G72" s="85"/>
      <c r="H72" s="85"/>
      <c r="I72" s="86"/>
      <c r="J72" s="86"/>
      <c r="K72" s="85"/>
      <c r="L72" s="85"/>
      <c r="M72" s="87"/>
      <c r="N72" s="86"/>
      <c r="O72" s="88"/>
      <c r="P72" s="88"/>
      <c r="Q72" s="86"/>
      <c r="R72" s="86"/>
      <c r="S72" s="86"/>
      <c r="T72" s="86"/>
      <c r="U72" s="86"/>
      <c r="V72" s="86"/>
      <c r="W72" s="89"/>
      <c r="Y72" s="39"/>
      <c r="Z72" s="38"/>
      <c r="AA72" s="38"/>
      <c r="AB72" s="39"/>
      <c r="AC72" s="39"/>
      <c r="AD72" s="40"/>
      <c r="AE72" s="18"/>
      <c r="AF72" s="18"/>
      <c r="AG72" s="18"/>
      <c r="AH72" s="18"/>
      <c r="AI72" s="18"/>
      <c r="AJ72" s="18"/>
      <c r="AK72" s="18"/>
      <c r="AL72" s="18"/>
      <c r="AM72" s="18"/>
      <c r="AN72" s="42"/>
      <c r="AO72" s="40"/>
      <c r="AP72" s="40"/>
      <c r="AQ72" s="40"/>
      <c r="AR72" s="40"/>
      <c r="AS72" s="40"/>
      <c r="AT72" s="40"/>
      <c r="AU72" s="40"/>
      <c r="AV72" s="40"/>
      <c r="AW72" s="126"/>
      <c r="AX72" s="126"/>
      <c r="AY72" s="126"/>
      <c r="AZ72" s="36"/>
      <c r="BA72" s="36"/>
      <c r="BB72" s="36"/>
      <c r="BC72" s="40"/>
      <c r="BD72" s="69"/>
      <c r="BE72" s="69"/>
      <c r="BF72" s="127"/>
      <c r="BG72" s="127"/>
      <c r="BH72" s="127"/>
      <c r="BI72" s="127"/>
      <c r="BL72" s="40"/>
      <c r="BM72" s="40"/>
    </row>
    <row r="73" spans="1:65" x14ac:dyDescent="0.4">
      <c r="A73"/>
      <c r="B73" s="32"/>
      <c r="C73" s="32"/>
      <c r="D73" s="12"/>
      <c r="E73" s="90"/>
      <c r="F73" s="91" t="s">
        <v>22</v>
      </c>
      <c r="G73" s="91" t="s">
        <v>23</v>
      </c>
      <c r="H73" s="92"/>
      <c r="I73" s="93" t="s">
        <v>99</v>
      </c>
      <c r="J73" s="91" t="s">
        <v>23</v>
      </c>
      <c r="K73" s="93" t="s">
        <v>100</v>
      </c>
      <c r="L73" s="91" t="s">
        <v>23</v>
      </c>
      <c r="M73" s="94"/>
      <c r="N73" s="94"/>
      <c r="O73" s="95"/>
      <c r="P73" s="95"/>
      <c r="Q73" s="96"/>
      <c r="R73" s="96"/>
      <c r="S73" s="95"/>
      <c r="T73" s="97"/>
      <c r="U73" s="98"/>
      <c r="V73" s="98"/>
      <c r="W73" s="99" t="s">
        <v>101</v>
      </c>
      <c r="X73" s="18"/>
      <c r="Y73" s="39"/>
      <c r="Z73" s="38"/>
      <c r="AA73" s="38"/>
      <c r="AB73" s="39"/>
      <c r="AC73" s="39"/>
      <c r="AD73" s="40"/>
      <c r="AE73" s="18"/>
      <c r="AF73" s="18"/>
      <c r="AG73" s="18"/>
      <c r="AH73" s="18"/>
      <c r="AI73" s="18"/>
      <c r="AJ73" s="18"/>
      <c r="AK73" s="18"/>
      <c r="AL73" s="18"/>
      <c r="AM73" s="18"/>
      <c r="AN73" s="42"/>
      <c r="AO73" s="40"/>
      <c r="AP73" s="40"/>
      <c r="AQ73" s="40"/>
      <c r="AR73" s="40"/>
      <c r="AS73" s="40"/>
      <c r="AT73" s="40"/>
      <c r="AU73" s="40"/>
      <c r="AV73" s="40"/>
      <c r="AW73" s="126"/>
      <c r="AX73" s="126"/>
      <c r="AY73" s="126"/>
      <c r="AZ73" s="36"/>
      <c r="BA73" s="36"/>
      <c r="BB73" s="36"/>
      <c r="BC73" s="40"/>
      <c r="BD73" s="69"/>
      <c r="BE73" s="69"/>
      <c r="BF73" s="127"/>
      <c r="BG73" s="127"/>
      <c r="BH73" s="127"/>
      <c r="BI73" s="127"/>
      <c r="BL73" s="40"/>
      <c r="BM73" s="40"/>
    </row>
    <row r="74" spans="1:65" ht="13.5" x14ac:dyDescent="0.35">
      <c r="A74"/>
      <c r="B74" s="32"/>
      <c r="C74" s="32"/>
      <c r="D74" s="12"/>
      <c r="E74" s="100" t="s">
        <v>94</v>
      </c>
      <c r="F74" s="101">
        <v>1472.86232326087</v>
      </c>
      <c r="G74" s="102">
        <f t="shared" ref="G74:G78" si="65">H74/1.96</f>
        <v>58.471486054520916</v>
      </c>
      <c r="H74" s="101">
        <v>114.604112666861</v>
      </c>
      <c r="I74" s="101">
        <v>263594619.73333299</v>
      </c>
      <c r="J74" s="101">
        <v>17786416.227548201</v>
      </c>
      <c r="K74" s="101">
        <v>33890264.372093</v>
      </c>
      <c r="L74" s="101">
        <v>3192224.2199445101</v>
      </c>
      <c r="M74" s="101"/>
      <c r="N74" s="98">
        <f>F74*$V$2</f>
        <v>1.3506883935463808E-2</v>
      </c>
      <c r="O74" s="95">
        <f>G74/F74*N74</f>
        <v>5.3621276286298404E-4</v>
      </c>
      <c r="P74" s="95">
        <f>I74*$X$2</f>
        <v>1.3041343811306649E-2</v>
      </c>
      <c r="Q74" s="103">
        <f>J74/I74/1.96*P74</f>
        <v>4.4897088921323834E-4</v>
      </c>
      <c r="R74" s="96">
        <f>K74*$Y$2</f>
        <v>5.2572272607209272E-3</v>
      </c>
      <c r="S74" s="95">
        <f>(L74/K74*R74)/1.96</f>
        <v>2.5264988883616951E-4</v>
      </c>
      <c r="T74" s="97">
        <f>1*R74</f>
        <v>5.2572272607209272E-3</v>
      </c>
      <c r="U74" s="98">
        <f>T74/$V$2</f>
        <v>573.27596758311188</v>
      </c>
      <c r="V74" s="104">
        <f>(F74-U74)/I74</f>
        <v>3.4127644812622875E-6</v>
      </c>
      <c r="W74" s="99">
        <f>V74*1000000</f>
        <v>3.4127644812622875</v>
      </c>
      <c r="X74" s="18"/>
      <c r="Y74" s="39"/>
      <c r="Z74" s="38"/>
      <c r="AA74" s="38"/>
      <c r="AB74" s="39"/>
      <c r="AC74" s="39"/>
      <c r="AD74" s="40"/>
      <c r="AE74" s="18"/>
      <c r="AF74" s="18"/>
      <c r="AG74" s="18"/>
      <c r="AH74" s="18"/>
      <c r="AI74" s="18"/>
      <c r="AJ74" s="18"/>
      <c r="AK74" s="18"/>
      <c r="AL74" s="18"/>
      <c r="AM74" s="18"/>
      <c r="AN74" s="42"/>
      <c r="AO74" s="40"/>
      <c r="AP74" s="40"/>
      <c r="AQ74" s="40"/>
      <c r="AR74" s="40"/>
      <c r="AS74" s="40"/>
      <c r="AT74" s="40"/>
      <c r="AU74" s="40"/>
      <c r="AV74" s="40"/>
      <c r="AW74" s="126"/>
      <c r="AX74" s="126"/>
      <c r="AY74" s="126"/>
      <c r="AZ74" s="36"/>
      <c r="BA74" s="36"/>
      <c r="BB74" s="36"/>
      <c r="BC74" s="40"/>
      <c r="BD74" s="69"/>
      <c r="BE74" s="69"/>
      <c r="BF74" s="127"/>
      <c r="BG74" s="127"/>
      <c r="BH74" s="127"/>
      <c r="BI74" s="127"/>
      <c r="BL74" s="40"/>
      <c r="BM74" s="40"/>
    </row>
    <row r="75" spans="1:65" ht="13.5" x14ac:dyDescent="0.35">
      <c r="A75"/>
      <c r="B75" s="32"/>
      <c r="C75" s="32"/>
      <c r="D75" s="12"/>
      <c r="E75" s="100" t="s">
        <v>95</v>
      </c>
      <c r="F75" s="101">
        <v>1332.9457269767399</v>
      </c>
      <c r="G75" s="102">
        <f t="shared" si="65"/>
        <v>33.885233094304084</v>
      </c>
      <c r="H75" s="101">
        <v>66.415056864836004</v>
      </c>
      <c r="I75" s="101">
        <v>316522338.78260899</v>
      </c>
      <c r="J75" s="101">
        <v>19853187.1702401</v>
      </c>
      <c r="K75" s="101">
        <v>18222108.954545502</v>
      </c>
      <c r="L75" s="101">
        <v>525220.68819572299</v>
      </c>
      <c r="M75" s="101"/>
      <c r="N75" s="98">
        <f>F75*$V$2</f>
        <v>1.2223778789240193E-2</v>
      </c>
      <c r="O75" s="95">
        <f>G75/F75*N75</f>
        <v>3.1074453009131557E-4</v>
      </c>
      <c r="P75" s="95">
        <f>I75*$X$2</f>
        <v>1.5659942711269578E-2</v>
      </c>
      <c r="Q75" s="103">
        <f>J75/I75/1.96*P75</f>
        <v>5.0114103839164748E-4</v>
      </c>
      <c r="R75" s="96">
        <f>K75*$Y$2</f>
        <v>2.8267046515738714E-3</v>
      </c>
      <c r="S75" s="95">
        <f>(L75/K75*R75)/1.96</f>
        <v>4.1568805743041609E-5</v>
      </c>
      <c r="T75" s="97">
        <f>1*R75</f>
        <v>2.8267046515738714E-3</v>
      </c>
      <c r="U75" s="98">
        <f>T75/$V$2</f>
        <v>308.23888027630682</v>
      </c>
      <c r="V75" s="104">
        <f>(F75-U75)/I75</f>
        <v>3.2373918714287431E-6</v>
      </c>
      <c r="W75" s="99">
        <f>V75*1000000</f>
        <v>3.2373918714287431</v>
      </c>
      <c r="X75" s="18"/>
      <c r="Y75" s="39"/>
      <c r="Z75" s="38"/>
      <c r="AA75" s="38"/>
      <c r="AB75" s="39"/>
      <c r="AC75" s="39"/>
      <c r="AD75" s="40"/>
      <c r="AE75" s="18"/>
      <c r="AF75" s="18"/>
      <c r="AW75" s="126"/>
      <c r="AX75" s="126"/>
      <c r="AY75" s="126"/>
      <c r="AZ75" s="36"/>
      <c r="BA75" s="36"/>
      <c r="BB75" s="36"/>
      <c r="BC75" s="40"/>
      <c r="BD75" s="69"/>
      <c r="BE75" s="69"/>
      <c r="BF75" s="127"/>
      <c r="BG75" s="127"/>
      <c r="BH75" s="127"/>
      <c r="BI75" s="127"/>
      <c r="BL75" s="40"/>
      <c r="BM75" s="40"/>
    </row>
    <row r="76" spans="1:65" ht="14.2" customHeight="1" x14ac:dyDescent="0.35">
      <c r="A76"/>
      <c r="B76" s="32"/>
      <c r="C76" s="32"/>
      <c r="D76" s="12"/>
      <c r="E76" s="100" t="s">
        <v>96</v>
      </c>
      <c r="F76" s="101">
        <v>1267.3255856511601</v>
      </c>
      <c r="G76" s="102">
        <f t="shared" si="65"/>
        <v>31.148672984555201</v>
      </c>
      <c r="H76" s="101">
        <v>61.051399049728197</v>
      </c>
      <c r="I76" s="101">
        <v>308647825.06666702</v>
      </c>
      <c r="J76" s="101">
        <v>18521675.435196701</v>
      </c>
      <c r="K76" s="101">
        <v>15814888.0465116</v>
      </c>
      <c r="L76" s="101">
        <v>311190.34683052899</v>
      </c>
      <c r="M76" s="101"/>
      <c r="N76" s="98">
        <f>F76*$V$2</f>
        <v>1.1622009283213964E-2</v>
      </c>
      <c r="O76" s="95">
        <f>G76/F76*N76</f>
        <v>2.8564890560486351E-4</v>
      </c>
      <c r="P76" s="95">
        <f>I76*$X$2</f>
        <v>1.5270351145173349E-2</v>
      </c>
      <c r="Q76" s="103">
        <f>J76/I76/1.96*P76</f>
        <v>4.6753055722263096E-4</v>
      </c>
      <c r="R76" s="96">
        <f>K76*$Y$2</f>
        <v>2.4532845082151124E-3</v>
      </c>
      <c r="S76" s="95">
        <f>(L76/K76*R76)/1.96</f>
        <v>2.4629287016370314E-5</v>
      </c>
      <c r="T76" s="97">
        <f>1*R76</f>
        <v>2.4532845082151124E-3</v>
      </c>
      <c r="U76" s="98">
        <f>T76/$V$2</f>
        <v>267.5191656087577</v>
      </c>
      <c r="V76" s="104">
        <f>(F76-U76)/I76</f>
        <v>3.239311405568619E-6</v>
      </c>
      <c r="W76" s="99">
        <f t="shared" ref="W75:W78" si="66">V76*1000000</f>
        <v>3.239311405568619</v>
      </c>
      <c r="X76" s="18"/>
      <c r="Y76" s="39"/>
      <c r="Z76" s="38"/>
      <c r="AA76" s="38"/>
      <c r="AB76" s="39"/>
      <c r="AC76" s="39"/>
      <c r="AD76" s="40"/>
      <c r="AE76" s="18"/>
      <c r="AF76" s="18"/>
      <c r="AW76" s="126"/>
      <c r="AX76" s="126"/>
      <c r="AY76" s="126"/>
      <c r="AZ76" s="36"/>
      <c r="BA76" s="36"/>
      <c r="BB76" s="36"/>
      <c r="BC76" s="40"/>
      <c r="BD76" s="69"/>
      <c r="BE76" s="69"/>
      <c r="BF76" s="127"/>
      <c r="BG76" s="127"/>
      <c r="BH76" s="127"/>
      <c r="BI76" s="127"/>
      <c r="BL76" s="40"/>
      <c r="BM76" s="40"/>
    </row>
    <row r="77" spans="1:65" ht="13.5" customHeight="1" x14ac:dyDescent="0.35">
      <c r="A77"/>
      <c r="B77" s="32"/>
      <c r="C77" s="32"/>
      <c r="D77" s="12"/>
      <c r="E77" s="100" t="s">
        <v>97</v>
      </c>
      <c r="F77" s="101">
        <v>1777.2463803478299</v>
      </c>
      <c r="G77" s="102">
        <f t="shared" si="65"/>
        <v>56.476518493548468</v>
      </c>
      <c r="H77" s="101">
        <v>110.693976247355</v>
      </c>
      <c r="I77" s="101">
        <v>389022089.73913002</v>
      </c>
      <c r="J77" s="101">
        <v>26360316.812769499</v>
      </c>
      <c r="K77" s="101">
        <v>29452370.5</v>
      </c>
      <c r="L77" s="101">
        <v>1666569.2350972199</v>
      </c>
      <c r="M77" s="101"/>
      <c r="N77" s="98">
        <f>F77*$V$2</f>
        <v>1.6298237930979773E-2</v>
      </c>
      <c r="O77" s="95">
        <f>G77/F77*N77</f>
        <v>5.179179128450862E-4</v>
      </c>
      <c r="P77" s="95">
        <f>I77*$X$2</f>
        <v>1.9246867889843457E-2</v>
      </c>
      <c r="Q77" s="103">
        <f>J77/I77/1.96*P77</f>
        <v>6.6539626240396472E-4</v>
      </c>
      <c r="R77" s="96">
        <f>K77*$Y$2</f>
        <v>4.5687989738125009E-3</v>
      </c>
      <c r="S77" s="95">
        <f>(L77/K77*R77)/1.96</f>
        <v>1.3190130234411038E-4</v>
      </c>
      <c r="T77" s="97">
        <f>1*R77</f>
        <v>4.5687989738125009E-3</v>
      </c>
      <c r="U77" s="98">
        <f t="shared" ref="U77:U78" si="67">T77/$V$2</f>
        <v>498.20609277711151</v>
      </c>
      <c r="V77" s="104">
        <f>(F77-U77)/I77</f>
        <v>3.2878346019590193E-6</v>
      </c>
      <c r="W77" s="99">
        <f t="shared" si="66"/>
        <v>3.2878346019590192</v>
      </c>
      <c r="X77" s="18"/>
      <c r="Y77" s="39"/>
      <c r="Z77" s="38"/>
      <c r="AA77" s="38"/>
      <c r="AB77" s="39"/>
      <c r="AC77" s="39"/>
      <c r="AD77" s="40"/>
      <c r="AE77" s="18"/>
      <c r="AF77" s="18"/>
      <c r="AW77" s="126"/>
      <c r="AX77" s="126"/>
      <c r="AY77" s="126"/>
      <c r="AZ77" s="36"/>
      <c r="BA77" s="36"/>
      <c r="BB77" s="36"/>
      <c r="BC77" s="40"/>
      <c r="BD77" s="69"/>
      <c r="BE77" s="69"/>
      <c r="BF77" s="127"/>
      <c r="BG77" s="127"/>
      <c r="BH77" s="127"/>
      <c r="BI77" s="127"/>
      <c r="BL77" s="40"/>
      <c r="BM77" s="40"/>
    </row>
    <row r="78" spans="1:65" ht="14.55" customHeight="1" x14ac:dyDescent="0.35">
      <c r="A78"/>
      <c r="B78" s="32"/>
      <c r="C78" s="32"/>
      <c r="D78" s="12"/>
      <c r="E78" s="100" t="s">
        <v>98</v>
      </c>
      <c r="F78" s="101">
        <v>1027.72727272727</v>
      </c>
      <c r="G78" s="102">
        <f t="shared" si="65"/>
        <v>36.530611398032903</v>
      </c>
      <c r="H78" s="101">
        <v>71.599998340144495</v>
      </c>
      <c r="I78" s="101">
        <v>236362882.909091</v>
      </c>
      <c r="J78" s="101">
        <v>17085483.946957398</v>
      </c>
      <c r="K78" s="101">
        <v>14201064.571428601</v>
      </c>
      <c r="L78" s="101">
        <v>912868.43359626399</v>
      </c>
      <c r="M78" s="101"/>
      <c r="N78" s="98">
        <f>F78*$V$2</f>
        <v>9.4247729545454302E-3</v>
      </c>
      <c r="O78" s="95">
        <f>G78/F78*N78</f>
        <v>3.350039718256608E-4</v>
      </c>
      <c r="P78" s="95">
        <f>I78*$X$2</f>
        <v>1.1694053631927276E-2</v>
      </c>
      <c r="Q78" s="103">
        <f>J78/I78/1.96*P78</f>
        <v>4.312777134059781E-4</v>
      </c>
      <c r="R78" s="96">
        <f>K78*$Y$2</f>
        <v>2.202940141642862E-3</v>
      </c>
      <c r="S78" s="95">
        <f>(L78/K78*R78)/1.96</f>
        <v>7.2249344776336975E-5</v>
      </c>
      <c r="T78" s="97">
        <f>1*R78</f>
        <v>2.202940141642862E-3</v>
      </c>
      <c r="U78" s="98">
        <f t="shared" si="67"/>
        <v>240.22028696830731</v>
      </c>
      <c r="V78" s="104">
        <f>(F78-U78)/I78</f>
        <v>3.3317709450254537E-6</v>
      </c>
      <c r="W78" s="99">
        <f t="shared" si="66"/>
        <v>3.3317709450254536</v>
      </c>
      <c r="X78" s="18"/>
      <c r="Y78" s="39"/>
      <c r="Z78" s="38"/>
      <c r="AA78" s="38"/>
      <c r="AB78" s="39"/>
      <c r="AC78" s="39"/>
      <c r="AD78" s="40"/>
      <c r="AE78" s="18"/>
      <c r="AF78" s="18"/>
      <c r="AW78" s="126"/>
      <c r="AX78" s="126"/>
      <c r="AY78" s="126"/>
      <c r="AZ78" s="36"/>
      <c r="BA78" s="36"/>
      <c r="BB78" s="36"/>
      <c r="BC78" s="40"/>
      <c r="BD78" s="69"/>
      <c r="BE78" s="69"/>
      <c r="BF78" s="127"/>
      <c r="BG78" s="127"/>
      <c r="BH78" s="127"/>
      <c r="BI78" s="127"/>
      <c r="BL78" s="40"/>
      <c r="BM78" s="40"/>
    </row>
    <row r="79" spans="1:65" ht="14.55" customHeight="1" x14ac:dyDescent="0.35">
      <c r="A79"/>
      <c r="B79" s="32"/>
      <c r="C79" s="32"/>
      <c r="D79" s="12"/>
      <c r="E79" s="100"/>
      <c r="F79" s="101"/>
      <c r="G79" s="102"/>
      <c r="H79" s="101"/>
      <c r="I79" s="101"/>
      <c r="J79" s="101"/>
      <c r="K79" s="101"/>
      <c r="L79" s="101"/>
      <c r="M79" s="101"/>
      <c r="N79" s="98"/>
      <c r="O79" s="95"/>
      <c r="P79" s="95"/>
      <c r="Q79" s="103"/>
      <c r="R79" s="96"/>
      <c r="S79" s="95"/>
      <c r="T79" s="97"/>
      <c r="U79" s="98"/>
      <c r="V79" s="98"/>
      <c r="W79" s="99"/>
      <c r="X79" s="18"/>
      <c r="Y79" s="39"/>
      <c r="Z79" s="38"/>
      <c r="AA79" s="38"/>
      <c r="AB79" s="39"/>
      <c r="AC79" s="39"/>
      <c r="AD79" s="40"/>
      <c r="AE79" s="18"/>
      <c r="AF79" s="18"/>
      <c r="AW79" s="126"/>
      <c r="AX79" s="126"/>
      <c r="AY79" s="126"/>
      <c r="AZ79" s="36"/>
      <c r="BA79" s="36"/>
      <c r="BB79" s="36"/>
      <c r="BC79" s="40"/>
      <c r="BD79" s="69"/>
      <c r="BE79" s="69"/>
      <c r="BF79" s="127"/>
      <c r="BG79" s="127"/>
      <c r="BH79" s="127"/>
      <c r="BI79" s="127"/>
      <c r="BL79" s="40"/>
      <c r="BM79" s="40"/>
    </row>
    <row r="80" spans="1:65" ht="14.55" customHeight="1" x14ac:dyDescent="0.35">
      <c r="A80"/>
      <c r="B80" s="32"/>
      <c r="C80" s="32"/>
      <c r="D80" s="2"/>
      <c r="E80" s="90"/>
      <c r="F80" s="105"/>
      <c r="G80" s="105"/>
      <c r="H80" s="106"/>
      <c r="I80" s="107"/>
      <c r="J80" s="107"/>
      <c r="K80" s="94"/>
      <c r="L80" s="94"/>
      <c r="M80" s="94"/>
      <c r="N80" s="94"/>
      <c r="O80" s="95"/>
      <c r="P80" s="95"/>
      <c r="Q80" s="96"/>
      <c r="R80" s="96"/>
      <c r="S80" s="95"/>
      <c r="T80" s="97"/>
      <c r="U80" s="98" t="s">
        <v>53</v>
      </c>
      <c r="V80" s="108">
        <f>AVERAGE(V74:V79)</f>
        <v>3.3018146610488243E-6</v>
      </c>
      <c r="W80" s="99">
        <f>AVERAGE(W74:W79)</f>
        <v>3.3018146610488244</v>
      </c>
      <c r="X80" s="18"/>
      <c r="Y80" s="39"/>
      <c r="Z80" s="38"/>
      <c r="AA80" s="38"/>
      <c r="AB80" s="39"/>
      <c r="AC80" s="39"/>
      <c r="AD80" s="40"/>
      <c r="AE80" s="18"/>
      <c r="AF80" s="18"/>
    </row>
    <row r="81" spans="1:68" ht="13.5" x14ac:dyDescent="0.35">
      <c r="A81"/>
      <c r="B81" s="32"/>
      <c r="C81" s="32"/>
      <c r="D81" s="2"/>
      <c r="E81" s="90"/>
      <c r="F81" s="105"/>
      <c r="G81" s="105"/>
      <c r="H81" s="106"/>
      <c r="I81" s="107"/>
      <c r="J81" s="107"/>
      <c r="K81" s="94"/>
      <c r="L81" s="94"/>
      <c r="M81" s="94"/>
      <c r="N81" s="94"/>
      <c r="O81" s="95"/>
      <c r="P81" s="95"/>
      <c r="Q81" s="96"/>
      <c r="R81" s="96"/>
      <c r="S81" s="95"/>
      <c r="T81" s="97"/>
      <c r="U81" s="98" t="s">
        <v>33</v>
      </c>
      <c r="V81" s="108">
        <f>STDEV(V74:V78)/SQRT(COUNT(V74:V78))</f>
        <v>3.2756401187630322E-8</v>
      </c>
      <c r="W81" s="99"/>
      <c r="X81" s="18"/>
      <c r="Y81" s="39"/>
      <c r="Z81" s="38"/>
      <c r="AA81" s="38"/>
      <c r="AB81" s="39"/>
      <c r="AC81" s="39"/>
      <c r="AD81" s="40"/>
      <c r="AE81" s="18"/>
      <c r="AF81" s="18"/>
    </row>
    <row r="82" spans="1:68" ht="14.55" customHeight="1" thickBot="1" x14ac:dyDescent="0.4">
      <c r="A82"/>
      <c r="B82" s="32"/>
      <c r="C82" s="32"/>
      <c r="D82" s="2"/>
      <c r="E82" s="109"/>
      <c r="F82" s="110"/>
      <c r="G82" s="110"/>
      <c r="H82" s="111"/>
      <c r="I82" s="112"/>
      <c r="J82" s="112"/>
      <c r="K82" s="113"/>
      <c r="L82" s="113"/>
      <c r="M82" s="113"/>
      <c r="N82" s="113"/>
      <c r="O82" s="114"/>
      <c r="P82" s="114"/>
      <c r="Q82" s="115"/>
      <c r="R82" s="115"/>
      <c r="S82" s="114"/>
      <c r="T82" s="116"/>
      <c r="U82" s="117" t="s">
        <v>102</v>
      </c>
      <c r="V82" s="117">
        <f>V81/V80</f>
        <v>9.9207267973137007E-3</v>
      </c>
      <c r="W82" s="118"/>
      <c r="X82" s="18"/>
      <c r="Y82" s="39"/>
      <c r="Z82" s="38"/>
      <c r="AA82" s="38"/>
      <c r="AB82" s="39"/>
      <c r="AC82" s="39"/>
      <c r="AD82" s="40"/>
      <c r="AE82" s="18"/>
      <c r="AF82" s="18"/>
    </row>
    <row r="83" spans="1:68" ht="14.55" customHeight="1" x14ac:dyDescent="0.5">
      <c r="A83" s="31"/>
      <c r="B83" s="32"/>
      <c r="C83" s="32"/>
      <c r="D83" s="2"/>
      <c r="E83" s="35"/>
      <c r="F83" s="35"/>
      <c r="G83" s="35"/>
      <c r="H83" s="36"/>
      <c r="I83" s="37"/>
      <c r="J83" s="37"/>
      <c r="K83" s="3"/>
      <c r="L83" s="3"/>
      <c r="M83" s="3"/>
      <c r="N83" s="3"/>
      <c r="O83" s="39"/>
      <c r="P83" s="39"/>
      <c r="Q83" s="38"/>
      <c r="R83" s="38"/>
      <c r="S83" s="39"/>
      <c r="T83" s="40"/>
      <c r="U83" s="18"/>
      <c r="V83" s="18"/>
      <c r="W83" s="18"/>
      <c r="X83" s="18"/>
      <c r="Y83" s="39"/>
      <c r="Z83" s="38"/>
      <c r="AA83" s="38"/>
      <c r="AB83" s="39"/>
      <c r="AC83" s="39"/>
      <c r="AD83" s="40"/>
      <c r="AE83" s="18"/>
      <c r="AF83" s="18"/>
    </row>
    <row r="84" spans="1:68" ht="14.25" x14ac:dyDescent="0.45">
      <c r="A84"/>
      <c r="B84" s="32"/>
      <c r="C84" s="32"/>
      <c r="E84" s="46"/>
      <c r="G84"/>
      <c r="H84"/>
      <c r="I84"/>
      <c r="K84"/>
      <c r="L84"/>
      <c r="M84"/>
      <c r="N84" s="37"/>
      <c r="O84" s="37"/>
      <c r="P84" s="37"/>
      <c r="Q84" s="37"/>
      <c r="S84" s="38"/>
      <c r="W84" s="18"/>
      <c r="X84" s="39"/>
      <c r="Y84" s="39"/>
      <c r="Z84" s="38"/>
      <c r="AA84" s="38"/>
      <c r="AB84" s="39"/>
      <c r="AC84" s="39"/>
      <c r="AD84" s="40"/>
      <c r="AE84" s="18"/>
      <c r="AF84" s="18"/>
    </row>
    <row r="85" spans="1:68" ht="14.25" x14ac:dyDescent="0.45">
      <c r="A85"/>
      <c r="B85" s="32"/>
      <c r="C85" s="32"/>
      <c r="E85" s="46"/>
      <c r="G85"/>
      <c r="H85"/>
      <c r="I85"/>
      <c r="K85"/>
      <c r="L85"/>
      <c r="M85"/>
      <c r="N85" s="37"/>
      <c r="O85" s="37"/>
      <c r="P85" s="37"/>
      <c r="Q85" s="37"/>
      <c r="S85" s="38"/>
      <c r="W85" s="18"/>
      <c r="X85" s="39"/>
      <c r="Y85" s="39"/>
      <c r="Z85" s="38"/>
      <c r="AA85" s="38"/>
      <c r="AB85" s="39"/>
      <c r="AC85" s="39"/>
      <c r="AD85" s="40"/>
      <c r="AE85" s="18"/>
      <c r="AF85" s="18"/>
    </row>
    <row r="86" spans="1:68" ht="13.5" x14ac:dyDescent="0.35">
      <c r="A86"/>
      <c r="B86" s="32"/>
      <c r="C86" s="32"/>
      <c r="G86"/>
      <c r="H86"/>
      <c r="I86"/>
      <c r="K86"/>
      <c r="L86"/>
      <c r="M86"/>
      <c r="N86" s="37"/>
      <c r="O86" s="37"/>
      <c r="P86" s="37"/>
      <c r="Q86" s="37"/>
      <c r="S86" s="38"/>
      <c r="W86" s="18"/>
      <c r="X86" s="39"/>
      <c r="Y86" s="39"/>
      <c r="Z86" s="38"/>
      <c r="AA86" s="38"/>
      <c r="AB86" s="39"/>
      <c r="AC86" s="39"/>
      <c r="AD86" s="40"/>
      <c r="AE86" s="18"/>
      <c r="AF86" s="18"/>
    </row>
    <row r="87" spans="1:68" ht="15.75" x14ac:dyDescent="0.5">
      <c r="A87" s="31"/>
      <c r="B87" s="32"/>
      <c r="C87" s="32"/>
      <c r="E87" s="50"/>
      <c r="G87" s="31"/>
      <c r="H87" s="31"/>
      <c r="I87" s="31"/>
      <c r="K87" s="31"/>
      <c r="L87" s="31"/>
      <c r="M87" s="31"/>
      <c r="N87" s="37"/>
      <c r="O87" s="37"/>
      <c r="P87" s="37"/>
      <c r="Q87" s="37"/>
      <c r="S87" s="38"/>
      <c r="W87" s="18"/>
      <c r="X87" s="39"/>
      <c r="Y87" s="39"/>
      <c r="Z87" s="38"/>
      <c r="AA87" s="38"/>
      <c r="AB87" s="39"/>
      <c r="AC87" s="39"/>
      <c r="AD87" s="40"/>
      <c r="AE87" s="18"/>
      <c r="AF87" s="18"/>
    </row>
    <row r="88" spans="1:68" ht="14.25" x14ac:dyDescent="0.45">
      <c r="A88"/>
      <c r="B88" s="32"/>
      <c r="C88" s="32"/>
      <c r="E88" s="46"/>
      <c r="G88"/>
      <c r="H88"/>
      <c r="I88"/>
      <c r="K88"/>
      <c r="L88"/>
      <c r="M88"/>
      <c r="N88" s="37"/>
      <c r="O88" s="37"/>
      <c r="P88" s="37"/>
      <c r="Q88" s="37"/>
      <c r="S88" s="38"/>
      <c r="W88" s="18"/>
      <c r="X88" s="39"/>
      <c r="Y88" s="39"/>
      <c r="Z88" s="38"/>
      <c r="AA88" s="38"/>
      <c r="AB88" s="39"/>
      <c r="AC88" s="39"/>
      <c r="AD88" s="40"/>
      <c r="AE88" s="18"/>
      <c r="AF88" s="18"/>
      <c r="BN88" s="53"/>
      <c r="BO88" s="53"/>
      <c r="BP88" s="53"/>
    </row>
    <row r="89" spans="1:68" ht="14.25" x14ac:dyDescent="0.45">
      <c r="A89"/>
      <c r="B89" s="32"/>
      <c r="C89" s="32"/>
      <c r="E89" s="46"/>
      <c r="G89"/>
      <c r="H89"/>
      <c r="I89"/>
      <c r="K89"/>
      <c r="L89"/>
      <c r="M89"/>
      <c r="N89" s="37"/>
      <c r="O89" s="37"/>
      <c r="P89" s="37"/>
      <c r="Q89" s="37"/>
      <c r="S89" s="38"/>
      <c r="W89" s="18"/>
      <c r="X89" s="39"/>
      <c r="Y89" s="39"/>
      <c r="Z89" s="38"/>
      <c r="AA89" s="38"/>
      <c r="AB89" s="39"/>
      <c r="AC89" s="39"/>
      <c r="AD89" s="40"/>
      <c r="AE89" s="18"/>
      <c r="AF89" s="18"/>
      <c r="AG89" s="18"/>
      <c r="AH89" s="18"/>
      <c r="AI89" s="18"/>
      <c r="AJ89" s="18"/>
      <c r="AK89" s="18"/>
      <c r="AL89" s="18"/>
      <c r="AM89" s="18"/>
      <c r="AN89" s="42"/>
      <c r="AO89" s="40"/>
      <c r="AP89" s="40"/>
      <c r="AQ89" s="40"/>
      <c r="AR89" s="40"/>
      <c r="BN89" s="53"/>
      <c r="BO89" s="53"/>
      <c r="BP89" s="53"/>
    </row>
    <row r="90" spans="1:68" ht="14.25" x14ac:dyDescent="0.45">
      <c r="A90"/>
      <c r="B90" s="32"/>
      <c r="C90" s="32"/>
      <c r="E90" s="46"/>
      <c r="G90"/>
      <c r="H90"/>
      <c r="I90"/>
      <c r="K90"/>
      <c r="L90"/>
      <c r="M90"/>
      <c r="N90" s="37"/>
      <c r="O90" s="37"/>
      <c r="P90" s="37"/>
      <c r="Q90" s="37"/>
      <c r="S90" s="38"/>
      <c r="W90" s="18"/>
      <c r="X90" s="39"/>
      <c r="Y90" s="39"/>
      <c r="Z90" s="38"/>
      <c r="AA90" s="38"/>
      <c r="AB90" s="39"/>
      <c r="AC90" s="39"/>
      <c r="AD90" s="40"/>
      <c r="AE90" s="18"/>
      <c r="AF90" s="18"/>
      <c r="AG90" s="18"/>
      <c r="AH90" s="18"/>
      <c r="AI90" s="18"/>
      <c r="AJ90" s="18"/>
      <c r="AK90" s="18"/>
      <c r="AL90" s="18"/>
      <c r="AM90" s="18"/>
      <c r="AN90" s="42"/>
      <c r="AO90" s="40"/>
      <c r="AP90" s="40"/>
      <c r="AQ90" s="40"/>
      <c r="AR90" s="40"/>
    </row>
    <row r="91" spans="1:68" s="49" customFormat="1" ht="14.25" x14ac:dyDescent="0.45">
      <c r="A91"/>
      <c r="B91" s="32"/>
      <c r="C91" s="32"/>
      <c r="D91" s="3"/>
      <c r="E91" s="46"/>
      <c r="F91" s="2"/>
      <c r="G91"/>
      <c r="H91"/>
      <c r="I91"/>
      <c r="J91" s="2"/>
      <c r="K91"/>
      <c r="L91"/>
      <c r="M91"/>
      <c r="N91" s="37"/>
      <c r="O91" s="37"/>
      <c r="P91" s="37"/>
      <c r="Q91" s="37"/>
      <c r="R91" s="3"/>
      <c r="S91" s="38"/>
      <c r="T91" s="78"/>
      <c r="U91" s="3"/>
      <c r="V91" s="3"/>
      <c r="W91" s="18"/>
      <c r="X91" s="39"/>
      <c r="Y91" s="39"/>
      <c r="Z91" s="38"/>
      <c r="AA91" s="38"/>
      <c r="AB91" s="39"/>
      <c r="AC91" s="39"/>
      <c r="AD91" s="40"/>
      <c r="AE91" s="18"/>
      <c r="AF91" s="18"/>
      <c r="AG91" s="18"/>
      <c r="AH91" s="18"/>
      <c r="AI91" s="18"/>
      <c r="AJ91" s="18"/>
      <c r="AK91" s="18"/>
      <c r="AL91" s="18"/>
      <c r="AM91" s="18"/>
      <c r="AN91" s="42"/>
      <c r="AO91" s="40"/>
      <c r="AP91" s="40"/>
      <c r="AQ91" s="56"/>
    </row>
    <row r="92" spans="1:68" ht="14.25" x14ac:dyDescent="0.45">
      <c r="A92"/>
      <c r="B92" s="32"/>
      <c r="C92" s="32"/>
      <c r="E92" s="46"/>
      <c r="G92"/>
      <c r="H92"/>
      <c r="I92"/>
      <c r="K92"/>
      <c r="L92"/>
      <c r="M92"/>
      <c r="N92" s="37"/>
      <c r="O92" s="37"/>
      <c r="P92" s="37"/>
      <c r="Q92" s="37"/>
      <c r="S92" s="38"/>
      <c r="W92" s="18"/>
      <c r="X92" s="39"/>
      <c r="Y92" s="39"/>
      <c r="Z92" s="38"/>
      <c r="AA92" s="38"/>
      <c r="AB92" s="39"/>
      <c r="AC92" s="39"/>
      <c r="AD92" s="40"/>
      <c r="AE92" s="18"/>
      <c r="AF92" s="18"/>
      <c r="AG92" s="18"/>
      <c r="AH92" s="18"/>
      <c r="AI92" s="18"/>
      <c r="AJ92" s="18"/>
      <c r="AK92" s="18"/>
      <c r="AL92" s="18"/>
      <c r="AM92" s="18"/>
      <c r="AN92" s="42"/>
      <c r="AO92" s="40"/>
      <c r="AP92" s="40"/>
      <c r="AQ92" s="40"/>
    </row>
    <row r="93" spans="1:68" ht="26.55" customHeight="1" x14ac:dyDescent="0.45">
      <c r="A93"/>
      <c r="B93" s="32"/>
      <c r="C93" s="32"/>
      <c r="E93" s="46"/>
      <c r="G93"/>
      <c r="H93"/>
      <c r="I93"/>
      <c r="K93"/>
      <c r="L93"/>
      <c r="M93"/>
      <c r="N93" s="37"/>
      <c r="O93" s="37"/>
      <c r="P93" s="37"/>
      <c r="Q93" s="37"/>
      <c r="S93" s="38"/>
      <c r="W93" s="18"/>
      <c r="X93" s="39"/>
      <c r="Y93" s="39"/>
      <c r="Z93" s="38"/>
      <c r="AA93" s="38"/>
      <c r="AB93" s="39"/>
      <c r="AC93" s="39"/>
      <c r="AD93" s="40"/>
      <c r="AE93" s="18"/>
      <c r="AF93" s="18"/>
      <c r="AG93" s="18"/>
      <c r="AH93" s="18"/>
      <c r="AI93" s="18"/>
      <c r="AJ93" s="18"/>
      <c r="AK93" s="18"/>
      <c r="AL93" s="18"/>
      <c r="AM93" s="18"/>
      <c r="AN93" s="42"/>
      <c r="AO93" s="40"/>
      <c r="AP93" s="40"/>
      <c r="AQ93" s="40"/>
    </row>
    <row r="94" spans="1:68" ht="14.25" x14ac:dyDescent="0.45">
      <c r="A94"/>
      <c r="B94" s="32"/>
      <c r="C94" s="32"/>
      <c r="E94" s="46"/>
      <c r="G94"/>
      <c r="H94"/>
      <c r="I94"/>
      <c r="K94"/>
      <c r="L94"/>
      <c r="M94"/>
      <c r="N94" s="37"/>
      <c r="O94" s="37"/>
      <c r="P94" s="37"/>
      <c r="Q94" s="37"/>
      <c r="S94" s="38"/>
      <c r="W94" s="18"/>
      <c r="X94" s="39"/>
      <c r="Y94" s="39"/>
      <c r="Z94" s="38"/>
      <c r="AA94" s="38"/>
      <c r="AB94" s="39"/>
      <c r="AC94" s="39"/>
      <c r="AD94" s="40"/>
      <c r="AE94" s="18"/>
      <c r="AF94" s="18"/>
      <c r="AG94" s="18"/>
      <c r="AH94" s="18"/>
      <c r="AI94" s="18"/>
      <c r="AJ94" s="18"/>
      <c r="AK94" s="18"/>
      <c r="AL94" s="18"/>
      <c r="AM94" s="18"/>
      <c r="AN94" s="42"/>
      <c r="AO94" s="40"/>
      <c r="AP94" s="40"/>
      <c r="AQ94" s="40"/>
    </row>
    <row r="95" spans="1:68" ht="14.25" x14ac:dyDescent="0.45">
      <c r="A95"/>
      <c r="B95" s="32"/>
      <c r="C95" s="32"/>
      <c r="E95" s="46"/>
      <c r="G95"/>
      <c r="H95"/>
      <c r="I95"/>
      <c r="K95"/>
      <c r="L95"/>
      <c r="M95"/>
      <c r="N95" s="37"/>
      <c r="O95" s="37"/>
      <c r="P95" s="37"/>
      <c r="Q95" s="37"/>
      <c r="S95" s="38"/>
      <c r="W95" s="18"/>
      <c r="X95" s="39"/>
      <c r="Y95" s="39"/>
      <c r="Z95" s="38"/>
      <c r="AA95" s="38"/>
      <c r="AB95" s="39"/>
      <c r="AC95" s="39"/>
      <c r="AD95" s="40"/>
      <c r="AE95" s="18"/>
      <c r="AF95" s="18"/>
      <c r="AG95" s="18"/>
      <c r="AH95" s="18"/>
      <c r="AI95" s="18"/>
      <c r="AJ95" s="18"/>
      <c r="AK95" s="18"/>
      <c r="AL95" s="18"/>
      <c r="AM95" s="18"/>
      <c r="AN95" s="42"/>
      <c r="AO95" s="40"/>
      <c r="AP95" s="40"/>
      <c r="AQ95" s="40"/>
    </row>
    <row r="96" spans="1:68" ht="14.55" customHeight="1" x14ac:dyDescent="0.45">
      <c r="A96"/>
      <c r="B96" s="32"/>
      <c r="C96" s="32"/>
      <c r="E96" s="46"/>
      <c r="G96"/>
      <c r="H96"/>
      <c r="I96"/>
      <c r="K96"/>
      <c r="L96"/>
      <c r="M96"/>
      <c r="N96" s="37"/>
      <c r="O96" s="37"/>
      <c r="P96" s="37"/>
      <c r="Q96" s="37"/>
      <c r="S96" s="38"/>
      <c r="W96" s="18"/>
      <c r="X96" s="39"/>
      <c r="Y96" s="39"/>
      <c r="Z96" s="38"/>
      <c r="AA96" s="38"/>
      <c r="AB96" s="39"/>
      <c r="AC96" s="39"/>
      <c r="AD96" s="40"/>
      <c r="AE96" s="18"/>
      <c r="AF96" s="18"/>
      <c r="AG96" s="18"/>
      <c r="AH96" s="18"/>
      <c r="AI96" s="18"/>
      <c r="AJ96" s="18"/>
      <c r="AK96" s="18"/>
      <c r="AL96" s="18"/>
      <c r="AM96" s="18"/>
      <c r="AN96" s="42"/>
      <c r="AO96" s="40"/>
      <c r="AP96" s="40"/>
      <c r="AQ96" s="40"/>
    </row>
    <row r="97" spans="1:68" s="53" customFormat="1" ht="14.55" customHeight="1" x14ac:dyDescent="0.45">
      <c r="A97"/>
      <c r="B97" s="32"/>
      <c r="C97" s="32"/>
      <c r="D97" s="3"/>
      <c r="E97" s="46"/>
      <c r="F97" s="2"/>
      <c r="G97"/>
      <c r="H97"/>
      <c r="I97"/>
      <c r="J97" s="2"/>
      <c r="K97"/>
      <c r="L97"/>
      <c r="M97"/>
      <c r="N97" s="37"/>
      <c r="O97" s="37"/>
      <c r="P97" s="37"/>
      <c r="Q97" s="37"/>
      <c r="R97" s="3"/>
      <c r="S97" s="38"/>
      <c r="T97" s="76"/>
      <c r="U97" s="3"/>
      <c r="V97" s="3"/>
      <c r="W97" s="18"/>
      <c r="X97" s="39"/>
      <c r="Y97" s="39"/>
      <c r="Z97" s="38"/>
      <c r="AA97" s="38"/>
      <c r="AB97" s="39"/>
      <c r="AC97" s="39"/>
      <c r="AD97" s="40"/>
      <c r="AE97" s="18"/>
      <c r="AF97" s="18"/>
      <c r="AG97" s="18"/>
      <c r="AH97" s="18"/>
      <c r="AI97" s="18"/>
      <c r="AJ97" s="18"/>
      <c r="AK97" s="18"/>
      <c r="AL97" s="18"/>
      <c r="AM97" s="18"/>
      <c r="AN97" s="42"/>
      <c r="AO97" s="40"/>
      <c r="AP97" s="40"/>
      <c r="AQ97" s="40"/>
      <c r="BO97" s="12"/>
      <c r="BP97" s="12"/>
    </row>
    <row r="98" spans="1:68" s="53" customFormat="1" ht="12" customHeight="1" x14ac:dyDescent="0.45">
      <c r="A98"/>
      <c r="B98" s="32"/>
      <c r="C98" s="32"/>
      <c r="D98" s="3"/>
      <c r="E98" s="46"/>
      <c r="F98" s="2"/>
      <c r="G98"/>
      <c r="H98"/>
      <c r="I98"/>
      <c r="J98" s="2"/>
      <c r="K98"/>
      <c r="L98"/>
      <c r="M98"/>
      <c r="N98" s="37"/>
      <c r="O98" s="37"/>
      <c r="P98" s="37"/>
      <c r="Q98" s="37"/>
      <c r="R98" s="3"/>
      <c r="S98" s="38"/>
      <c r="T98" s="76"/>
      <c r="U98" s="3"/>
      <c r="V98" s="3"/>
      <c r="W98" s="18"/>
      <c r="X98" s="39"/>
      <c r="Y98" s="39"/>
      <c r="Z98" s="38"/>
      <c r="AA98" s="38"/>
      <c r="AB98" s="39"/>
      <c r="AC98" s="39"/>
      <c r="AD98" s="40"/>
      <c r="AE98" s="18"/>
      <c r="AF98" s="18"/>
      <c r="AG98" s="18"/>
      <c r="AH98" s="18"/>
      <c r="AI98" s="18"/>
      <c r="AJ98" s="18"/>
      <c r="AK98" s="18"/>
      <c r="AL98" s="18"/>
      <c r="AM98" s="18"/>
      <c r="AN98" s="42"/>
      <c r="AO98" s="40"/>
      <c r="AP98" s="40"/>
      <c r="AQ98" s="40"/>
      <c r="BO98" s="12"/>
      <c r="BP98" s="12"/>
    </row>
    <row r="99" spans="1:68" s="53" customFormat="1" ht="14.55" customHeight="1" x14ac:dyDescent="0.45">
      <c r="A99"/>
      <c r="B99" s="32"/>
      <c r="C99" s="32"/>
      <c r="D99" s="3"/>
      <c r="E99" s="46"/>
      <c r="F99" s="2"/>
      <c r="G99"/>
      <c r="H99"/>
      <c r="I99"/>
      <c r="J99" s="2"/>
      <c r="K99"/>
      <c r="L99"/>
      <c r="M99"/>
      <c r="N99" s="37"/>
      <c r="O99" s="37"/>
      <c r="P99" s="37"/>
      <c r="Q99" s="37"/>
      <c r="R99" s="3"/>
      <c r="S99" s="38"/>
      <c r="T99" s="76"/>
      <c r="U99" s="3"/>
      <c r="V99" s="3"/>
      <c r="W99" s="18"/>
      <c r="X99" s="39"/>
      <c r="Y99" s="39"/>
      <c r="Z99" s="38"/>
      <c r="AA99" s="38"/>
      <c r="AB99" s="39"/>
      <c r="AC99" s="39"/>
      <c r="AD99" s="40"/>
      <c r="AE99" s="18"/>
      <c r="AF99" s="18"/>
      <c r="AG99" s="18"/>
      <c r="AH99" s="18"/>
      <c r="AI99" s="18"/>
      <c r="AJ99" s="18"/>
      <c r="AK99" s="18"/>
      <c r="AL99" s="18"/>
      <c r="AM99" s="18"/>
      <c r="AN99" s="42"/>
      <c r="AO99" s="40"/>
      <c r="AP99" s="40"/>
      <c r="AQ99" s="40"/>
      <c r="BO99" s="12"/>
      <c r="BP99" s="12"/>
    </row>
    <row r="100" spans="1:68" ht="14.55" customHeight="1" x14ac:dyDescent="0.35">
      <c r="A100"/>
      <c r="B100" s="32"/>
      <c r="C100" s="32"/>
      <c r="G100"/>
      <c r="H100"/>
      <c r="I100"/>
      <c r="K100"/>
      <c r="L100"/>
      <c r="M100"/>
      <c r="N100" s="37"/>
      <c r="O100" s="37"/>
      <c r="P100" s="37"/>
      <c r="Q100" s="37"/>
      <c r="S100" s="38"/>
      <c r="W100" s="18"/>
      <c r="X100" s="39"/>
      <c r="Y100" s="39"/>
      <c r="Z100" s="38"/>
      <c r="AA100" s="38"/>
      <c r="AB100" s="39"/>
      <c r="AC100" s="39"/>
      <c r="AD100" s="40"/>
      <c r="AE100" s="18"/>
      <c r="AF100" s="18"/>
      <c r="AG100" s="18"/>
      <c r="AH100" s="18"/>
      <c r="AI100" s="18"/>
      <c r="AJ100" s="18"/>
      <c r="AK100" s="18"/>
      <c r="AL100" s="18"/>
      <c r="AM100" s="18"/>
      <c r="AN100" s="42"/>
      <c r="AO100" s="40"/>
      <c r="AP100" s="40"/>
      <c r="AQ100" s="40"/>
    </row>
    <row r="101" spans="1:68" ht="14.2" customHeight="1" x14ac:dyDescent="0.5">
      <c r="A101" s="31"/>
      <c r="B101" s="32"/>
      <c r="C101" s="32"/>
      <c r="E101" s="50"/>
      <c r="G101" s="31"/>
      <c r="H101" s="31"/>
      <c r="I101" s="31"/>
      <c r="K101" s="31"/>
      <c r="L101" s="31"/>
      <c r="M101" s="31"/>
      <c r="N101" s="37"/>
      <c r="O101" s="37"/>
      <c r="P101" s="37"/>
      <c r="Q101" s="37"/>
      <c r="S101" s="38"/>
      <c r="W101" s="18"/>
      <c r="X101" s="39"/>
      <c r="Y101" s="39"/>
      <c r="Z101" s="38"/>
      <c r="AA101" s="38"/>
      <c r="AB101" s="39"/>
      <c r="AC101" s="39"/>
      <c r="AD101" s="40"/>
      <c r="AE101" s="18"/>
      <c r="AF101" s="18"/>
      <c r="AG101" s="18"/>
      <c r="AH101" s="18"/>
      <c r="AI101" s="18"/>
      <c r="AJ101" s="18"/>
      <c r="AK101" s="18"/>
      <c r="AL101" s="18"/>
      <c r="AM101" s="18"/>
      <c r="AN101" s="42"/>
      <c r="AO101" s="40"/>
      <c r="AP101" s="40"/>
      <c r="AQ101" s="40"/>
    </row>
    <row r="102" spans="1:68" ht="14.55" customHeight="1" x14ac:dyDescent="0.45">
      <c r="A102"/>
      <c r="B102" s="32"/>
      <c r="C102" s="32"/>
      <c r="E102" s="46"/>
      <c r="G102"/>
      <c r="H102"/>
      <c r="I102"/>
      <c r="K102"/>
      <c r="L102"/>
      <c r="M102"/>
      <c r="N102" s="37"/>
      <c r="O102" s="37"/>
      <c r="P102" s="37"/>
      <c r="Q102" s="37"/>
      <c r="S102" s="38"/>
      <c r="W102" s="18"/>
      <c r="X102" s="39"/>
      <c r="Y102" s="39"/>
      <c r="Z102" s="38"/>
      <c r="AA102" s="38"/>
      <c r="AB102" s="39"/>
      <c r="AC102" s="39"/>
      <c r="AD102" s="40"/>
      <c r="AE102" s="18"/>
      <c r="AF102" s="18"/>
      <c r="AG102" s="18"/>
      <c r="AH102" s="18"/>
      <c r="AI102" s="18"/>
      <c r="AJ102" s="18"/>
      <c r="AK102" s="18"/>
      <c r="AL102" s="18"/>
      <c r="AM102" s="18"/>
      <c r="AN102" s="42"/>
      <c r="AO102" s="40"/>
      <c r="AP102" s="40"/>
      <c r="AQ102" s="40"/>
    </row>
    <row r="103" spans="1:68" ht="14.25" x14ac:dyDescent="0.45">
      <c r="A103"/>
      <c r="B103" s="32"/>
      <c r="C103" s="32"/>
      <c r="E103" s="46"/>
      <c r="G103"/>
      <c r="H103"/>
      <c r="I103"/>
      <c r="K103"/>
      <c r="L103"/>
      <c r="M103"/>
      <c r="N103" s="37"/>
      <c r="O103" s="37"/>
      <c r="P103" s="37"/>
      <c r="Q103" s="37"/>
      <c r="S103" s="38"/>
      <c r="W103" s="18"/>
      <c r="X103" s="39"/>
      <c r="Y103" s="39"/>
      <c r="Z103" s="38"/>
      <c r="AA103" s="38"/>
      <c r="AB103" s="39"/>
      <c r="AC103" s="39"/>
      <c r="AD103" s="40"/>
      <c r="AE103" s="18"/>
      <c r="AF103" s="18"/>
      <c r="AG103" s="18"/>
      <c r="AH103" s="18"/>
      <c r="AI103" s="18"/>
      <c r="AJ103" s="18"/>
      <c r="AK103" s="18"/>
      <c r="AL103" s="18"/>
      <c r="AM103" s="18"/>
      <c r="AN103" s="42"/>
      <c r="AO103" s="40"/>
      <c r="AP103" s="40"/>
      <c r="AQ103" s="40"/>
    </row>
    <row r="104" spans="1:68" ht="14.25" x14ac:dyDescent="0.45">
      <c r="A104"/>
      <c r="B104" s="32"/>
      <c r="C104" s="32"/>
      <c r="E104" s="46"/>
      <c r="G104"/>
      <c r="H104"/>
      <c r="I104"/>
      <c r="K104"/>
      <c r="L104"/>
      <c r="M104"/>
      <c r="N104" s="37"/>
      <c r="O104" s="37"/>
      <c r="P104" s="37"/>
      <c r="Q104" s="37"/>
      <c r="S104" s="38"/>
      <c r="W104" s="18"/>
      <c r="X104" s="39"/>
      <c r="Y104" s="39"/>
      <c r="Z104" s="38"/>
      <c r="AA104" s="38"/>
      <c r="AB104" s="39"/>
      <c r="AC104" s="39"/>
      <c r="AD104" s="40"/>
      <c r="AE104" s="18"/>
      <c r="AF104" s="18"/>
      <c r="AG104" s="18"/>
      <c r="AH104" s="18"/>
      <c r="AI104" s="18"/>
      <c r="AJ104" s="18"/>
      <c r="AK104" s="18"/>
      <c r="AL104" s="18"/>
      <c r="AM104" s="18"/>
      <c r="AN104" s="42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2"/>
      <c r="BE104" s="40"/>
      <c r="BG104" s="54"/>
      <c r="BJ104" s="40"/>
      <c r="BK104" s="40"/>
      <c r="BL104" s="40"/>
      <c r="BM104" s="40"/>
    </row>
    <row r="105" spans="1:68" ht="14.25" x14ac:dyDescent="0.45">
      <c r="A105"/>
      <c r="B105" s="32"/>
      <c r="C105" s="32"/>
      <c r="E105" s="46"/>
      <c r="G105"/>
      <c r="H105"/>
      <c r="I105"/>
      <c r="K105"/>
      <c r="L105"/>
      <c r="M105"/>
      <c r="N105" s="37"/>
      <c r="O105" s="37"/>
      <c r="P105" s="37"/>
      <c r="Q105" s="37"/>
      <c r="S105" s="38"/>
      <c r="W105" s="18"/>
      <c r="X105" s="39"/>
      <c r="Y105" s="39"/>
      <c r="Z105" s="38"/>
      <c r="AA105" s="38"/>
      <c r="AB105" s="39"/>
      <c r="AC105" s="39"/>
      <c r="AD105" s="40"/>
      <c r="AE105" s="18"/>
      <c r="AF105" s="18"/>
      <c r="AG105" s="18"/>
      <c r="AH105" s="18"/>
      <c r="AI105" s="18"/>
      <c r="AJ105" s="18"/>
      <c r="AK105" s="18"/>
      <c r="AL105" s="18"/>
      <c r="AM105" s="18"/>
      <c r="AN105" s="42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2"/>
      <c r="BE105" s="40"/>
      <c r="BG105" s="54"/>
      <c r="BJ105" s="40"/>
      <c r="BK105" s="40"/>
      <c r="BL105" s="40"/>
      <c r="BM105" s="40"/>
    </row>
    <row r="106" spans="1:68" ht="14.25" x14ac:dyDescent="0.45">
      <c r="A106"/>
      <c r="B106" s="32"/>
      <c r="C106" s="32"/>
      <c r="E106" s="46"/>
      <c r="G106"/>
      <c r="H106"/>
      <c r="I106"/>
      <c r="K106"/>
      <c r="L106"/>
      <c r="M106"/>
      <c r="N106" s="37"/>
      <c r="O106" s="37"/>
      <c r="P106" s="37"/>
      <c r="Q106" s="37"/>
      <c r="S106" s="38"/>
      <c r="W106" s="18"/>
      <c r="X106" s="39"/>
      <c r="Y106" s="39"/>
      <c r="Z106" s="38"/>
      <c r="AA106" s="38"/>
      <c r="AB106" s="39"/>
      <c r="AC106" s="39"/>
      <c r="AD106" s="40"/>
      <c r="AE106" s="18"/>
      <c r="AF106" s="18"/>
      <c r="AG106" s="18"/>
      <c r="AH106" s="18"/>
      <c r="AI106" s="18"/>
      <c r="AJ106" s="18"/>
      <c r="AK106" s="18"/>
      <c r="AL106" s="18"/>
      <c r="AM106" s="18"/>
      <c r="AN106" s="42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2"/>
      <c r="BE106" s="40"/>
      <c r="BG106" s="54"/>
      <c r="BJ106" s="40"/>
      <c r="BK106" s="40"/>
      <c r="BL106" s="40"/>
      <c r="BM106" s="40"/>
    </row>
    <row r="107" spans="1:68" ht="14.25" x14ac:dyDescent="0.45">
      <c r="A107"/>
      <c r="B107" s="32"/>
      <c r="C107" s="32"/>
      <c r="E107" s="46"/>
      <c r="G107"/>
      <c r="H107"/>
      <c r="I107"/>
      <c r="K107"/>
      <c r="L107"/>
      <c r="M107"/>
      <c r="N107" s="37"/>
      <c r="O107" s="37"/>
      <c r="P107" s="37"/>
      <c r="Q107" s="37"/>
      <c r="S107" s="38"/>
      <c r="W107" s="18"/>
      <c r="X107" s="39"/>
      <c r="Y107" s="39"/>
      <c r="Z107" s="38"/>
      <c r="AA107" s="38"/>
      <c r="AB107" s="39"/>
      <c r="AC107" s="39"/>
      <c r="AD107" s="40"/>
      <c r="AE107" s="18"/>
      <c r="AF107" s="18"/>
      <c r="AG107" s="18"/>
      <c r="AH107" s="18"/>
      <c r="AI107" s="18"/>
      <c r="AJ107" s="18"/>
      <c r="AK107" s="18"/>
      <c r="AL107" s="18"/>
      <c r="AM107" s="18"/>
      <c r="AN107" s="42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2"/>
      <c r="BE107" s="40"/>
      <c r="BG107" s="54"/>
      <c r="BJ107" s="40"/>
      <c r="BK107" s="40"/>
      <c r="BL107" s="40"/>
      <c r="BM107" s="40"/>
    </row>
    <row r="108" spans="1:68" ht="14.25" x14ac:dyDescent="0.45">
      <c r="A108"/>
      <c r="B108" s="32"/>
      <c r="C108" s="32"/>
      <c r="E108" s="46"/>
      <c r="G108"/>
      <c r="H108"/>
      <c r="I108"/>
      <c r="K108"/>
      <c r="L108"/>
      <c r="M108"/>
      <c r="N108" s="37"/>
      <c r="O108" s="37"/>
      <c r="P108" s="37"/>
      <c r="Q108" s="37"/>
      <c r="S108" s="38"/>
      <c r="W108" s="18"/>
      <c r="X108" s="39"/>
      <c r="Y108" s="39"/>
      <c r="Z108" s="38"/>
      <c r="AA108" s="38"/>
      <c r="AB108" s="39"/>
      <c r="AC108" s="39"/>
      <c r="AD108" s="40"/>
      <c r="AE108" s="18"/>
      <c r="AF108" s="18"/>
      <c r="AG108" s="18"/>
      <c r="AH108" s="18"/>
      <c r="AI108" s="18"/>
      <c r="AJ108" s="18"/>
      <c r="AK108" s="18"/>
      <c r="AL108" s="18"/>
      <c r="AM108" s="18"/>
      <c r="AN108" s="42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2"/>
      <c r="BE108" s="40"/>
      <c r="BG108" s="54"/>
      <c r="BJ108" s="40"/>
      <c r="BK108" s="40"/>
      <c r="BL108" s="40"/>
      <c r="BM108" s="40"/>
    </row>
    <row r="109" spans="1:68" ht="14.25" x14ac:dyDescent="0.45">
      <c r="A109"/>
      <c r="B109" s="32"/>
      <c r="C109" s="32"/>
      <c r="E109" s="46"/>
      <c r="G109"/>
      <c r="H109"/>
      <c r="I109"/>
      <c r="K109"/>
      <c r="L109"/>
      <c r="M109"/>
      <c r="N109" s="37"/>
      <c r="O109" s="37"/>
      <c r="P109" s="37"/>
      <c r="Q109" s="37"/>
      <c r="S109" s="38"/>
      <c r="W109" s="18"/>
      <c r="X109" s="39"/>
      <c r="Y109" s="39"/>
      <c r="Z109" s="38"/>
      <c r="AA109" s="38"/>
      <c r="AB109" s="39"/>
      <c r="AC109" s="39"/>
      <c r="AD109" s="40"/>
      <c r="AE109" s="18"/>
      <c r="AF109" s="18"/>
      <c r="AG109" s="18"/>
      <c r="AH109" s="18"/>
      <c r="AI109" s="18"/>
      <c r="AJ109" s="18"/>
      <c r="AK109" s="18"/>
      <c r="AL109" s="18"/>
      <c r="AM109" s="18"/>
      <c r="AN109" s="42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2"/>
      <c r="BE109" s="40"/>
      <c r="BG109" s="54"/>
      <c r="BL109" s="40"/>
      <c r="BM109" s="40"/>
    </row>
    <row r="110" spans="1:68" ht="21.7" customHeight="1" x14ac:dyDescent="0.45">
      <c r="A110"/>
      <c r="B110" s="32"/>
      <c r="C110" s="32"/>
      <c r="E110" s="46"/>
      <c r="G110"/>
      <c r="H110"/>
      <c r="I110"/>
      <c r="K110"/>
      <c r="L110"/>
      <c r="M110"/>
      <c r="N110" s="37"/>
      <c r="O110" s="37"/>
      <c r="P110" s="37"/>
      <c r="Q110" s="37"/>
      <c r="S110" s="38"/>
      <c r="W110" s="18"/>
      <c r="X110" s="39"/>
      <c r="Y110" s="39"/>
      <c r="Z110" s="38"/>
      <c r="AA110" s="38"/>
      <c r="AB110" s="39"/>
      <c r="AC110" s="39"/>
      <c r="AD110" s="40"/>
      <c r="AE110" s="18"/>
      <c r="AF110" s="18"/>
      <c r="AG110" s="18"/>
      <c r="AH110" s="18"/>
      <c r="AI110" s="18"/>
      <c r="AJ110" s="18"/>
      <c r="AK110" s="18"/>
      <c r="AL110" s="18"/>
      <c r="AM110" s="18"/>
      <c r="AN110" s="42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2"/>
      <c r="BE110" s="40"/>
      <c r="BG110" s="54"/>
      <c r="BL110" s="40"/>
      <c r="BM110" s="40"/>
    </row>
    <row r="111" spans="1:68" ht="14.25" x14ac:dyDescent="0.45">
      <c r="A111"/>
      <c r="B111" s="32"/>
      <c r="C111" s="32"/>
      <c r="E111" s="46"/>
      <c r="G111"/>
      <c r="H111"/>
      <c r="I111"/>
      <c r="K111"/>
      <c r="L111"/>
      <c r="M111"/>
      <c r="N111" s="37"/>
      <c r="O111" s="37"/>
      <c r="P111" s="37"/>
      <c r="Q111" s="37"/>
      <c r="S111" s="38"/>
      <c r="W111" s="18"/>
      <c r="X111" s="39"/>
      <c r="Y111" s="39"/>
      <c r="Z111" s="38"/>
      <c r="AA111" s="38"/>
      <c r="AB111" s="39"/>
      <c r="AC111" s="39"/>
      <c r="AD111" s="40"/>
      <c r="AE111" s="18"/>
      <c r="AF111" s="18"/>
      <c r="AG111" s="18"/>
      <c r="AH111" s="18"/>
      <c r="AI111" s="18"/>
      <c r="AJ111" s="18"/>
      <c r="AK111" s="18"/>
      <c r="AL111" s="18"/>
      <c r="AM111" s="18"/>
      <c r="AN111" s="42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2"/>
      <c r="BE111" s="40"/>
      <c r="BG111" s="54"/>
      <c r="BL111" s="40"/>
      <c r="BM111" s="40"/>
    </row>
    <row r="112" spans="1:68" ht="14.25" x14ac:dyDescent="0.45">
      <c r="A112"/>
      <c r="B112" s="32"/>
      <c r="C112" s="32"/>
      <c r="E112" s="46"/>
      <c r="G112"/>
      <c r="H112"/>
      <c r="I112"/>
      <c r="K112"/>
      <c r="L112"/>
      <c r="M112"/>
      <c r="N112" s="37"/>
      <c r="O112" s="37"/>
      <c r="P112" s="37"/>
      <c r="Q112" s="37"/>
      <c r="S112" s="38"/>
      <c r="W112" s="18"/>
      <c r="X112" s="39"/>
      <c r="Y112" s="39"/>
      <c r="Z112" s="38"/>
      <c r="AA112" s="38"/>
      <c r="AB112" s="39"/>
      <c r="AC112" s="39"/>
      <c r="AD112" s="40"/>
      <c r="AE112" s="18"/>
      <c r="AF112" s="18"/>
      <c r="AG112" s="18"/>
      <c r="AH112" s="18"/>
      <c r="AI112" s="18"/>
      <c r="AJ112" s="18"/>
      <c r="AK112" s="18"/>
      <c r="AL112" s="18"/>
      <c r="AM112" s="18"/>
      <c r="AN112" s="42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2"/>
      <c r="BE112" s="40"/>
      <c r="BG112" s="54"/>
      <c r="BL112" s="40"/>
      <c r="BM112" s="40"/>
    </row>
    <row r="113" spans="1:68" ht="14.25" x14ac:dyDescent="0.45">
      <c r="A113"/>
      <c r="B113" s="32"/>
      <c r="C113" s="32"/>
      <c r="E113" s="46"/>
      <c r="G113"/>
      <c r="H113"/>
      <c r="I113"/>
      <c r="K113"/>
      <c r="L113"/>
      <c r="M113"/>
      <c r="N113" s="37"/>
      <c r="O113" s="37"/>
      <c r="P113" s="37"/>
      <c r="Q113" s="37"/>
      <c r="S113" s="38"/>
      <c r="W113" s="18"/>
      <c r="X113" s="39"/>
      <c r="Y113" s="39"/>
      <c r="Z113" s="38"/>
      <c r="AA113" s="38"/>
      <c r="AB113" s="39"/>
      <c r="AC113" s="39"/>
      <c r="AD113" s="40"/>
      <c r="AE113" s="18"/>
      <c r="AF113" s="18"/>
      <c r="AG113" s="18"/>
      <c r="AH113" s="18"/>
      <c r="AI113" s="18"/>
      <c r="AJ113" s="18"/>
      <c r="AK113" s="18"/>
      <c r="AL113" s="18"/>
      <c r="AM113" s="18"/>
      <c r="AN113" s="42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2"/>
      <c r="BE113" s="40"/>
      <c r="BG113" s="54"/>
      <c r="BL113" s="40"/>
      <c r="BM113" s="40"/>
      <c r="BO113" s="37"/>
      <c r="BP113" s="37"/>
    </row>
    <row r="114" spans="1:68" ht="14.25" x14ac:dyDescent="0.45">
      <c r="A114"/>
      <c r="B114" s="32"/>
      <c r="C114" s="32"/>
      <c r="E114" s="46"/>
      <c r="G114"/>
      <c r="H114"/>
      <c r="I114"/>
      <c r="K114"/>
      <c r="L114"/>
      <c r="M114"/>
      <c r="N114" s="37"/>
      <c r="O114" s="37"/>
      <c r="P114" s="37"/>
      <c r="Q114" s="37"/>
      <c r="S114" s="38"/>
      <c r="W114" s="18"/>
      <c r="X114" s="39"/>
      <c r="Y114" s="39"/>
      <c r="Z114" s="38"/>
      <c r="AA114" s="38"/>
      <c r="AB114" s="39"/>
      <c r="AC114" s="39"/>
      <c r="AD114" s="40"/>
      <c r="AE114" s="18"/>
      <c r="AF114" s="18"/>
      <c r="AG114" s="18"/>
      <c r="AH114" s="18"/>
      <c r="AI114" s="18"/>
      <c r="AJ114" s="18"/>
      <c r="AK114" s="18"/>
      <c r="AL114" s="18"/>
      <c r="AM114" s="18"/>
      <c r="AN114" s="42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2"/>
      <c r="BE114" s="40"/>
      <c r="BG114" s="54"/>
      <c r="BL114" s="40"/>
      <c r="BM114" s="40"/>
      <c r="BO114" s="37"/>
      <c r="BP114" s="37"/>
    </row>
    <row r="115" spans="1:68" ht="14.25" x14ac:dyDescent="0.45">
      <c r="A115"/>
      <c r="B115" s="32"/>
      <c r="C115" s="32"/>
      <c r="E115" s="46"/>
      <c r="G115"/>
      <c r="H115"/>
      <c r="I115"/>
      <c r="K115"/>
      <c r="L115"/>
      <c r="M115"/>
      <c r="N115" s="37"/>
      <c r="O115" s="37"/>
      <c r="P115" s="37"/>
      <c r="Q115" s="37"/>
      <c r="S115" s="38"/>
      <c r="W115" s="18"/>
      <c r="X115" s="39"/>
      <c r="Y115" s="39"/>
      <c r="Z115" s="38"/>
      <c r="AA115" s="38"/>
      <c r="AB115" s="39"/>
      <c r="AC115" s="39"/>
      <c r="AD115" s="40"/>
      <c r="AE115" s="18"/>
      <c r="AF115" s="18"/>
      <c r="AG115" s="18"/>
      <c r="AH115" s="18"/>
      <c r="AI115" s="18"/>
      <c r="AJ115" s="18"/>
      <c r="AK115" s="18"/>
      <c r="AL115" s="18"/>
      <c r="AM115" s="18"/>
      <c r="AN115" s="42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2"/>
      <c r="BE115" s="40"/>
      <c r="BG115" s="54"/>
      <c r="BL115" s="40"/>
      <c r="BM115" s="40"/>
      <c r="BO115" s="37"/>
      <c r="BP115" s="37"/>
    </row>
    <row r="116" spans="1:68" ht="14.25" x14ac:dyDescent="0.45">
      <c r="A116"/>
      <c r="B116" s="32"/>
      <c r="C116" s="32"/>
      <c r="E116" s="46"/>
      <c r="G116"/>
      <c r="H116"/>
      <c r="I116"/>
      <c r="K116"/>
      <c r="L116"/>
      <c r="M116"/>
      <c r="N116" s="37"/>
      <c r="O116" s="37"/>
      <c r="P116" s="37"/>
      <c r="Q116" s="37"/>
      <c r="S116" s="38"/>
      <c r="W116" s="18"/>
      <c r="X116" s="39"/>
      <c r="Y116" s="39"/>
      <c r="Z116" s="38"/>
      <c r="AA116" s="38"/>
      <c r="AB116" s="39"/>
      <c r="AC116" s="39"/>
      <c r="AD116" s="40"/>
      <c r="AE116" s="18"/>
      <c r="AF116" s="18"/>
      <c r="AG116" s="18"/>
      <c r="AH116" s="18"/>
      <c r="AI116" s="18"/>
      <c r="AJ116" s="18"/>
      <c r="AK116" s="18"/>
      <c r="AL116" s="18"/>
      <c r="AM116" s="18"/>
      <c r="AN116" s="42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2"/>
      <c r="BE116" s="40"/>
      <c r="BG116" s="54"/>
      <c r="BL116" s="40"/>
      <c r="BM116" s="40"/>
      <c r="BO116" s="37"/>
      <c r="BP116" s="37"/>
    </row>
    <row r="117" spans="1:68" ht="14.25" x14ac:dyDescent="0.45">
      <c r="A117"/>
      <c r="B117" s="32"/>
      <c r="C117" s="32"/>
      <c r="E117" s="46"/>
      <c r="G117"/>
      <c r="H117"/>
      <c r="I117"/>
      <c r="K117"/>
      <c r="L117"/>
      <c r="M117"/>
      <c r="N117" s="37"/>
      <c r="O117" s="37"/>
      <c r="P117" s="37"/>
      <c r="Q117" s="37"/>
      <c r="S117" s="38"/>
      <c r="W117" s="18"/>
      <c r="X117" s="39"/>
      <c r="Y117" s="39"/>
      <c r="Z117" s="38"/>
      <c r="AA117" s="38"/>
      <c r="AB117" s="39"/>
      <c r="AC117" s="39"/>
      <c r="AD117" s="40"/>
      <c r="AE117" s="18"/>
      <c r="AF117" s="18"/>
      <c r="AG117" s="18"/>
      <c r="AH117" s="18"/>
      <c r="AI117" s="18"/>
      <c r="AJ117" s="18"/>
      <c r="AK117" s="18"/>
      <c r="AL117" s="18"/>
      <c r="AM117" s="18"/>
      <c r="AN117" s="42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2"/>
      <c r="BE117" s="40"/>
      <c r="BG117" s="54"/>
      <c r="BL117" s="40"/>
      <c r="BM117" s="40"/>
      <c r="BO117" s="37"/>
      <c r="BP117" s="37"/>
    </row>
    <row r="118" spans="1:68" ht="14.25" x14ac:dyDescent="0.45">
      <c r="A118"/>
      <c r="B118" s="32"/>
      <c r="C118" s="32"/>
      <c r="E118" s="46"/>
      <c r="G118"/>
      <c r="H118"/>
      <c r="I118"/>
      <c r="K118"/>
      <c r="L118"/>
      <c r="M118"/>
      <c r="N118" s="37"/>
      <c r="O118" s="37"/>
      <c r="P118" s="37"/>
      <c r="Q118" s="37"/>
      <c r="S118" s="38"/>
      <c r="W118" s="18"/>
      <c r="X118" s="39"/>
      <c r="Y118" s="39"/>
      <c r="Z118" s="38"/>
      <c r="AA118" s="38"/>
      <c r="AB118" s="39"/>
      <c r="AC118" s="39"/>
      <c r="AD118" s="40"/>
      <c r="AE118" s="18"/>
      <c r="AF118" s="18"/>
      <c r="AG118" s="18"/>
      <c r="AH118" s="18"/>
      <c r="AI118" s="18"/>
      <c r="AJ118" s="18"/>
      <c r="AK118" s="18"/>
      <c r="AL118" s="18"/>
      <c r="AM118" s="18"/>
      <c r="AN118" s="42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2"/>
      <c r="BE118" s="40"/>
      <c r="BG118" s="54"/>
      <c r="BL118" s="40"/>
      <c r="BM118" s="40"/>
      <c r="BO118" s="37"/>
      <c r="BP118" s="37"/>
    </row>
    <row r="119" spans="1:68" x14ac:dyDescent="0.35">
      <c r="A119"/>
      <c r="B119" s="32"/>
      <c r="C119" s="32"/>
      <c r="G119"/>
      <c r="H119"/>
      <c r="I119"/>
      <c r="K119"/>
      <c r="L119"/>
      <c r="M119"/>
      <c r="N119" s="37"/>
      <c r="O119" s="37"/>
      <c r="P119" s="37"/>
      <c r="Q119" s="37"/>
      <c r="S119" s="38"/>
      <c r="W119" s="18"/>
      <c r="X119" s="39"/>
      <c r="Y119" s="39"/>
      <c r="Z119" s="38"/>
      <c r="AA119" s="38"/>
      <c r="AB119" s="39"/>
      <c r="AC119" s="39"/>
      <c r="AD119" s="40"/>
      <c r="AE119" s="18"/>
      <c r="AF119" s="18"/>
      <c r="AG119" s="18"/>
      <c r="AH119" s="18"/>
      <c r="AI119" s="18"/>
      <c r="AJ119" s="18"/>
      <c r="AK119" s="18"/>
      <c r="AL119" s="18"/>
      <c r="AM119" s="18"/>
      <c r="AN119" s="42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2"/>
      <c r="BE119" s="40"/>
      <c r="BG119" s="54"/>
      <c r="BL119" s="40"/>
      <c r="BM119" s="40"/>
      <c r="BO119" s="37"/>
      <c r="BP119" s="37"/>
    </row>
    <row r="120" spans="1:68" ht="15.75" x14ac:dyDescent="0.5">
      <c r="A120" s="31"/>
      <c r="B120" s="32"/>
      <c r="C120" s="32"/>
      <c r="E120" s="50"/>
      <c r="G120" s="31"/>
      <c r="H120" s="31"/>
      <c r="I120" s="31"/>
      <c r="K120" s="31"/>
      <c r="L120" s="31"/>
      <c r="M120" s="31"/>
      <c r="N120" s="37"/>
      <c r="O120" s="37"/>
      <c r="P120" s="37"/>
      <c r="Q120" s="37"/>
      <c r="S120" s="38"/>
      <c r="W120" s="18"/>
      <c r="X120" s="39"/>
      <c r="Y120" s="39"/>
      <c r="Z120" s="38"/>
      <c r="AA120" s="38"/>
      <c r="AB120" s="39"/>
      <c r="AC120" s="39"/>
      <c r="AD120" s="40"/>
      <c r="AE120" s="18"/>
      <c r="AF120" s="18"/>
      <c r="AG120" s="18"/>
      <c r="AH120" s="18"/>
      <c r="AI120" s="18"/>
      <c r="AJ120" s="18"/>
      <c r="AK120" s="18"/>
      <c r="AL120" s="18"/>
      <c r="AM120" s="18"/>
      <c r="AN120" s="42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2"/>
      <c r="BE120" s="40"/>
      <c r="BG120" s="54"/>
      <c r="BL120" s="40"/>
      <c r="BM120" s="40"/>
      <c r="BO120" s="37"/>
      <c r="BP120" s="37"/>
    </row>
    <row r="121" spans="1:68" ht="14.25" x14ac:dyDescent="0.45">
      <c r="A121"/>
      <c r="B121" s="32"/>
      <c r="C121" s="32"/>
      <c r="E121" s="46"/>
      <c r="G121"/>
      <c r="H121"/>
      <c r="I121"/>
      <c r="K121"/>
      <c r="L121"/>
      <c r="M121"/>
      <c r="N121" s="37"/>
      <c r="O121" s="37"/>
      <c r="P121" s="37"/>
      <c r="Q121" s="37"/>
      <c r="S121" s="38"/>
      <c r="W121" s="18"/>
      <c r="X121" s="39"/>
      <c r="Y121" s="39"/>
      <c r="Z121" s="38"/>
      <c r="AA121" s="38"/>
      <c r="AB121" s="39"/>
      <c r="AC121" s="39"/>
      <c r="AD121" s="40"/>
      <c r="AE121" s="18"/>
      <c r="AF121" s="18"/>
      <c r="AG121" s="18"/>
      <c r="AH121" s="18"/>
      <c r="AI121" s="18"/>
      <c r="AJ121" s="18"/>
      <c r="AK121" s="18"/>
      <c r="AL121" s="18"/>
      <c r="AM121" s="18"/>
      <c r="AN121" s="42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2"/>
      <c r="BE121" s="40"/>
      <c r="BG121" s="54"/>
      <c r="BL121" s="40"/>
      <c r="BM121" s="40"/>
      <c r="BO121" s="37"/>
      <c r="BP121" s="37"/>
    </row>
    <row r="122" spans="1:68" ht="14.25" x14ac:dyDescent="0.45">
      <c r="A122"/>
      <c r="B122" s="32"/>
      <c r="C122" s="32"/>
      <c r="E122" s="46"/>
      <c r="G122"/>
      <c r="H122"/>
      <c r="I122"/>
      <c r="K122"/>
      <c r="L122"/>
      <c r="M122"/>
      <c r="N122" s="37"/>
      <c r="O122" s="37"/>
      <c r="P122" s="37"/>
      <c r="Q122" s="37"/>
      <c r="S122" s="38"/>
      <c r="W122" s="18"/>
      <c r="X122" s="39"/>
      <c r="Y122" s="39"/>
      <c r="Z122" s="38"/>
      <c r="AA122" s="38"/>
      <c r="AB122" s="39"/>
      <c r="AC122" s="39"/>
      <c r="AD122" s="40"/>
      <c r="AE122" s="18"/>
      <c r="AF122" s="18"/>
      <c r="AG122" s="18"/>
      <c r="AH122" s="18"/>
      <c r="AI122" s="18"/>
      <c r="AJ122" s="18"/>
      <c r="AK122" s="18"/>
      <c r="AL122" s="18"/>
      <c r="AM122" s="18"/>
      <c r="AN122" s="42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2"/>
      <c r="BE122" s="40"/>
      <c r="BG122" s="54"/>
      <c r="BL122" s="40"/>
      <c r="BM122" s="40"/>
      <c r="BO122" s="37"/>
      <c r="BP122" s="37"/>
    </row>
    <row r="123" spans="1:68" ht="14.25" x14ac:dyDescent="0.45">
      <c r="A123"/>
      <c r="B123" s="32"/>
      <c r="C123" s="32"/>
      <c r="E123" s="46"/>
      <c r="G123"/>
      <c r="H123"/>
      <c r="I123"/>
      <c r="K123"/>
      <c r="L123"/>
      <c r="M123"/>
      <c r="N123" s="37"/>
      <c r="O123" s="37"/>
      <c r="P123" s="37"/>
      <c r="Q123" s="37"/>
      <c r="S123" s="38"/>
      <c r="W123" s="18"/>
      <c r="X123" s="39"/>
      <c r="Y123" s="39"/>
      <c r="Z123" s="38"/>
      <c r="AA123" s="38"/>
      <c r="AB123" s="39"/>
      <c r="AC123" s="39"/>
      <c r="AD123" s="40"/>
      <c r="AE123" s="18"/>
      <c r="AF123" s="18"/>
      <c r="AG123" s="18"/>
      <c r="AH123" s="18"/>
      <c r="AI123" s="18"/>
      <c r="AJ123" s="18"/>
      <c r="AK123" s="18"/>
      <c r="AL123" s="18"/>
      <c r="AM123" s="18"/>
      <c r="AN123" s="42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2"/>
      <c r="BE123" s="40"/>
      <c r="BG123" s="54"/>
      <c r="BL123" s="40"/>
      <c r="BM123" s="40"/>
      <c r="BO123" s="37"/>
      <c r="BP123" s="37"/>
    </row>
    <row r="124" spans="1:68" ht="14.25" x14ac:dyDescent="0.45">
      <c r="A124"/>
      <c r="B124" s="32"/>
      <c r="C124" s="32"/>
      <c r="E124" s="46"/>
      <c r="G124"/>
      <c r="H124"/>
      <c r="I124"/>
      <c r="K124"/>
      <c r="L124"/>
      <c r="M124"/>
      <c r="N124" s="37"/>
      <c r="O124" s="37"/>
      <c r="P124" s="37"/>
      <c r="Q124" s="37"/>
      <c r="S124" s="38"/>
      <c r="W124" s="18"/>
      <c r="X124" s="39"/>
      <c r="Y124" s="39"/>
      <c r="Z124" s="38"/>
      <c r="AA124" s="38"/>
      <c r="AB124" s="39"/>
      <c r="AC124" s="39"/>
      <c r="AD124" s="40"/>
      <c r="AE124" s="18"/>
      <c r="AF124" s="18"/>
      <c r="AG124" s="18"/>
      <c r="AH124" s="18"/>
      <c r="AI124" s="18"/>
      <c r="AJ124" s="18"/>
      <c r="AK124" s="18"/>
      <c r="AL124" s="18"/>
      <c r="AM124" s="18"/>
      <c r="AN124" s="42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2"/>
      <c r="BE124" s="40"/>
      <c r="BG124" s="54"/>
      <c r="BL124" s="40"/>
      <c r="BM124" s="40"/>
      <c r="BO124" s="37"/>
      <c r="BP124" s="37"/>
    </row>
    <row r="126" spans="1:68" ht="14.25" x14ac:dyDescent="0.45">
      <c r="A126"/>
      <c r="B126" s="32"/>
      <c r="C126" s="32"/>
      <c r="E126" s="46"/>
      <c r="G126"/>
      <c r="H126"/>
      <c r="I126"/>
      <c r="K126"/>
      <c r="L126"/>
      <c r="M126"/>
      <c r="N126" s="37"/>
      <c r="O126" s="37"/>
      <c r="P126" s="37"/>
      <c r="Q126" s="37"/>
      <c r="S126" s="38"/>
      <c r="W126" s="18"/>
      <c r="X126" s="39"/>
      <c r="Y126" s="39"/>
      <c r="Z126" s="38"/>
      <c r="AA126" s="38"/>
      <c r="AB126" s="39"/>
      <c r="AC126" s="39"/>
      <c r="AD126" s="40"/>
      <c r="AE126" s="18"/>
      <c r="AF126" s="18"/>
      <c r="AG126" s="18"/>
      <c r="AH126" s="18"/>
      <c r="AI126" s="18"/>
      <c r="AJ126" s="18"/>
      <c r="AK126" s="18"/>
      <c r="AL126" s="18"/>
      <c r="AM126" s="18"/>
      <c r="AN126" s="42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2"/>
      <c r="BE126" s="40"/>
      <c r="BG126" s="54"/>
      <c r="BL126" s="40"/>
      <c r="BM126" s="40"/>
      <c r="BO126" s="37"/>
      <c r="BP126" s="37"/>
    </row>
    <row r="127" spans="1:68" ht="14.25" x14ac:dyDescent="0.45">
      <c r="A127"/>
      <c r="B127" s="32"/>
      <c r="C127" s="32"/>
      <c r="E127" s="46"/>
      <c r="G127"/>
      <c r="H127"/>
      <c r="I127"/>
      <c r="K127"/>
      <c r="L127"/>
      <c r="M127"/>
      <c r="N127" s="37"/>
      <c r="O127" s="37"/>
      <c r="P127" s="37"/>
      <c r="Q127" s="37"/>
      <c r="S127" s="38"/>
      <c r="W127" s="18"/>
      <c r="X127" s="39"/>
      <c r="Y127" s="39"/>
      <c r="Z127" s="38"/>
      <c r="AA127" s="38"/>
      <c r="AB127" s="39"/>
      <c r="AC127" s="39"/>
      <c r="AD127" s="40"/>
      <c r="AE127" s="18"/>
      <c r="AF127" s="18"/>
      <c r="AG127" s="18"/>
      <c r="AH127" s="18"/>
      <c r="AI127" s="18"/>
      <c r="AJ127" s="18"/>
      <c r="AK127" s="18"/>
      <c r="AL127" s="18"/>
      <c r="AM127" s="18"/>
      <c r="AN127" s="42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2"/>
      <c r="BE127" s="40"/>
      <c r="BG127" s="54"/>
      <c r="BL127" s="40"/>
      <c r="BM127" s="40"/>
      <c r="BO127" s="37"/>
      <c r="BP127" s="37"/>
    </row>
    <row r="128" spans="1:68" ht="14.25" x14ac:dyDescent="0.45">
      <c r="A128"/>
      <c r="B128" s="32"/>
      <c r="C128" s="32"/>
      <c r="E128" s="46"/>
      <c r="G128"/>
      <c r="H128"/>
      <c r="I128"/>
      <c r="K128"/>
      <c r="L128"/>
      <c r="M128"/>
      <c r="N128" s="37"/>
      <c r="O128" s="37"/>
      <c r="P128" s="37"/>
      <c r="Q128" s="37"/>
      <c r="S128" s="38"/>
      <c r="W128" s="18"/>
      <c r="X128" s="39"/>
      <c r="Y128" s="39"/>
      <c r="Z128" s="38"/>
      <c r="AA128" s="38"/>
      <c r="AB128" s="39"/>
      <c r="AC128" s="39"/>
      <c r="AD128" s="40"/>
      <c r="AE128" s="18"/>
      <c r="AF128" s="18"/>
      <c r="AG128" s="18"/>
      <c r="AH128" s="18"/>
      <c r="AI128" s="18"/>
      <c r="AJ128" s="18"/>
      <c r="AK128" s="18"/>
      <c r="AL128" s="18"/>
      <c r="AM128" s="18"/>
      <c r="AN128" s="42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2"/>
      <c r="BE128" s="40"/>
      <c r="BG128" s="54"/>
      <c r="BL128" s="40"/>
      <c r="BM128" s="40"/>
      <c r="BO128" s="37"/>
      <c r="BP128" s="37"/>
    </row>
    <row r="129" spans="1:80" x14ac:dyDescent="0.35">
      <c r="A129"/>
      <c r="B129" s="32"/>
      <c r="C129" s="32"/>
      <c r="G129"/>
      <c r="H129"/>
      <c r="I129"/>
      <c r="K129"/>
      <c r="L129"/>
      <c r="M129"/>
      <c r="N129" s="37"/>
      <c r="O129" s="37"/>
      <c r="P129" s="37"/>
      <c r="Q129" s="37"/>
      <c r="S129" s="38"/>
      <c r="W129" s="18"/>
      <c r="X129" s="39"/>
      <c r="Y129" s="39"/>
      <c r="Z129" s="38"/>
      <c r="AA129" s="38"/>
      <c r="AB129" s="39"/>
      <c r="AC129" s="39"/>
      <c r="AD129" s="40"/>
      <c r="AE129" s="18"/>
      <c r="AF129" s="18"/>
      <c r="AG129" s="18"/>
      <c r="AH129" s="18"/>
      <c r="AI129" s="18"/>
      <c r="AJ129" s="18"/>
      <c r="AK129" s="18"/>
      <c r="AL129" s="18"/>
      <c r="AM129" s="18"/>
      <c r="AN129" s="42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2"/>
      <c r="BE129" s="40"/>
      <c r="BG129" s="54"/>
      <c r="BL129" s="40"/>
      <c r="BM129" s="40"/>
      <c r="BO129" s="37"/>
      <c r="BP129" s="37"/>
    </row>
    <row r="130" spans="1:80" ht="15.75" x14ac:dyDescent="0.5">
      <c r="A130" s="31"/>
      <c r="B130" s="32"/>
      <c r="C130" s="32"/>
      <c r="E130" s="50"/>
      <c r="G130" s="31"/>
      <c r="H130" s="31"/>
      <c r="I130" s="31"/>
      <c r="K130" s="31"/>
      <c r="L130" s="31"/>
      <c r="M130" s="31"/>
      <c r="N130" s="37"/>
      <c r="O130" s="37"/>
      <c r="P130" s="37"/>
      <c r="Q130" s="37"/>
      <c r="S130" s="38"/>
      <c r="W130" s="18"/>
      <c r="X130" s="39"/>
      <c r="Y130" s="39"/>
      <c r="Z130" s="38"/>
      <c r="AA130" s="38"/>
      <c r="AB130" s="39"/>
      <c r="AC130" s="39"/>
      <c r="AD130" s="40"/>
      <c r="AE130" s="18"/>
      <c r="AF130" s="18"/>
      <c r="AG130" s="18"/>
      <c r="AH130" s="18"/>
      <c r="AI130" s="18"/>
      <c r="AJ130" s="18"/>
      <c r="AK130" s="18"/>
      <c r="AL130" s="18"/>
      <c r="AM130" s="18"/>
      <c r="AN130" s="42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2"/>
      <c r="BE130" s="40"/>
      <c r="BG130" s="54"/>
      <c r="BL130" s="40"/>
      <c r="BM130" s="40"/>
      <c r="BO130" s="37"/>
      <c r="BP130" s="37"/>
    </row>
    <row r="131" spans="1:80" ht="14.25" x14ac:dyDescent="0.45">
      <c r="A131"/>
      <c r="B131" s="32"/>
      <c r="C131" s="32"/>
      <c r="E131" s="46"/>
      <c r="G131"/>
      <c r="H131"/>
      <c r="I131"/>
      <c r="K131"/>
      <c r="L131"/>
      <c r="M131"/>
      <c r="N131" s="37"/>
      <c r="O131" s="37"/>
      <c r="P131" s="37"/>
      <c r="Q131" s="37"/>
      <c r="S131" s="38"/>
      <c r="W131" s="18"/>
      <c r="X131" s="39"/>
      <c r="Y131" s="39"/>
      <c r="Z131" s="38"/>
      <c r="AA131" s="38"/>
      <c r="AB131" s="39"/>
      <c r="AC131" s="39"/>
      <c r="AD131" s="40"/>
      <c r="AE131" s="18"/>
      <c r="AF131" s="18"/>
      <c r="AG131" s="18"/>
      <c r="AH131" s="18"/>
      <c r="AI131" s="18"/>
      <c r="AJ131" s="18"/>
      <c r="AK131" s="18"/>
      <c r="AL131" s="18"/>
      <c r="AM131" s="18"/>
      <c r="AN131" s="42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2"/>
      <c r="BE131" s="40"/>
      <c r="BG131" s="54"/>
      <c r="BL131" s="40"/>
      <c r="BM131" s="40"/>
      <c r="BO131" s="37"/>
      <c r="BP131" s="37"/>
    </row>
    <row r="132" spans="1:80" ht="14.25" x14ac:dyDescent="0.45">
      <c r="A132"/>
      <c r="B132" s="32"/>
      <c r="C132" s="32"/>
      <c r="E132" s="46"/>
      <c r="G132"/>
      <c r="H132"/>
      <c r="I132"/>
      <c r="K132"/>
      <c r="L132"/>
      <c r="M132"/>
      <c r="N132" s="37"/>
      <c r="O132" s="37"/>
      <c r="P132" s="37"/>
      <c r="Q132" s="37"/>
      <c r="S132" s="38"/>
      <c r="W132" s="18"/>
      <c r="X132" s="39"/>
      <c r="Y132" s="39"/>
      <c r="Z132" s="38"/>
      <c r="AA132" s="38"/>
      <c r="AB132" s="39"/>
      <c r="AC132" s="39"/>
      <c r="AD132" s="40"/>
      <c r="AE132" s="18"/>
      <c r="AF132" s="18"/>
      <c r="AG132" s="18"/>
      <c r="AH132" s="18"/>
      <c r="AI132" s="18"/>
      <c r="AJ132" s="18"/>
      <c r="AK132" s="18"/>
      <c r="AL132" s="18"/>
      <c r="AM132" s="18"/>
      <c r="AN132" s="42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2"/>
      <c r="BE132" s="40"/>
      <c r="BG132" s="54"/>
      <c r="BL132" s="40"/>
      <c r="BM132" s="40"/>
      <c r="BO132" s="37"/>
      <c r="BP132" s="37"/>
    </row>
    <row r="133" spans="1:80" ht="14.25" x14ac:dyDescent="0.45">
      <c r="A133"/>
      <c r="B133" s="32"/>
      <c r="C133" s="32"/>
      <c r="E133" s="46"/>
      <c r="G133"/>
      <c r="H133"/>
      <c r="I133"/>
      <c r="K133"/>
      <c r="L133"/>
      <c r="M133"/>
      <c r="N133" s="37"/>
      <c r="O133" s="37"/>
      <c r="P133" s="37"/>
      <c r="Q133" s="37"/>
      <c r="S133" s="38"/>
      <c r="W133" s="18"/>
      <c r="X133" s="39"/>
      <c r="Y133" s="39"/>
      <c r="Z133" s="38"/>
      <c r="AA133" s="38"/>
      <c r="AB133" s="39"/>
      <c r="AC133" s="39"/>
      <c r="AD133" s="40"/>
      <c r="AE133" s="18"/>
      <c r="AF133" s="18"/>
      <c r="AG133" s="18"/>
      <c r="AH133" s="18"/>
      <c r="AI133" s="18"/>
      <c r="AJ133" s="18"/>
      <c r="AK133" s="18"/>
      <c r="AL133" s="18"/>
      <c r="AM133" s="18"/>
      <c r="AN133" s="42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2"/>
      <c r="BE133" s="40"/>
      <c r="BG133" s="54"/>
      <c r="BL133" s="40"/>
      <c r="BM133" s="40"/>
      <c r="BO133" s="37"/>
      <c r="BP133" s="37"/>
    </row>
    <row r="134" spans="1:80" ht="14.25" x14ac:dyDescent="0.45">
      <c r="A134"/>
      <c r="B134" s="32"/>
      <c r="C134" s="32"/>
      <c r="E134" s="46"/>
      <c r="G134"/>
      <c r="H134"/>
      <c r="I134"/>
      <c r="K134"/>
      <c r="L134"/>
      <c r="M134"/>
      <c r="N134" s="37"/>
      <c r="O134" s="37"/>
      <c r="P134" s="37"/>
      <c r="Q134" s="37"/>
      <c r="S134" s="38"/>
      <c r="W134" s="18"/>
      <c r="X134" s="39"/>
      <c r="Y134" s="39"/>
      <c r="Z134" s="38"/>
      <c r="AA134" s="38"/>
      <c r="AB134" s="39"/>
      <c r="AC134" s="39"/>
      <c r="AD134" s="40"/>
      <c r="AE134" s="18"/>
      <c r="AF134" s="18"/>
      <c r="AG134" s="18"/>
      <c r="AH134" s="18"/>
      <c r="AI134" s="18"/>
      <c r="AJ134" s="18"/>
      <c r="AK134" s="18"/>
      <c r="AL134" s="18"/>
      <c r="AM134" s="18"/>
      <c r="AN134" s="42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2"/>
      <c r="BE134" s="40"/>
      <c r="BG134" s="54"/>
      <c r="BL134" s="40"/>
      <c r="BM134" s="40"/>
      <c r="BO134" s="58"/>
      <c r="BQ134" s="58"/>
    </row>
    <row r="135" spans="1:80" s="49" customFormat="1" ht="14.25" x14ac:dyDescent="0.45">
      <c r="A135"/>
      <c r="B135" s="32"/>
      <c r="C135" s="32"/>
      <c r="D135" s="3"/>
      <c r="E135" s="46"/>
      <c r="F135" s="2"/>
      <c r="G135"/>
      <c r="H135"/>
      <c r="I135"/>
      <c r="J135" s="2"/>
      <c r="K135"/>
      <c r="L135"/>
      <c r="M135"/>
      <c r="N135" s="37"/>
      <c r="O135" s="37"/>
      <c r="P135" s="37"/>
      <c r="Q135" s="37"/>
      <c r="R135" s="3"/>
      <c r="S135" s="38"/>
      <c r="T135" s="78"/>
      <c r="U135" s="3"/>
      <c r="V135" s="3"/>
      <c r="W135" s="18"/>
      <c r="X135" s="39"/>
      <c r="Y135" s="39"/>
      <c r="Z135" s="38"/>
      <c r="AA135" s="38"/>
      <c r="AB135" s="39"/>
      <c r="AC135" s="39"/>
      <c r="AD135" s="40"/>
      <c r="AE135" s="18"/>
      <c r="AF135" s="18"/>
      <c r="AG135" s="18"/>
      <c r="AH135" s="18"/>
      <c r="AI135" s="18"/>
      <c r="AJ135" s="18"/>
      <c r="AK135" s="18"/>
      <c r="AL135" s="18"/>
      <c r="AM135" s="18"/>
      <c r="AN135" s="42"/>
      <c r="AO135" s="40"/>
      <c r="AP135" s="40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  <c r="BD135" s="59"/>
      <c r="BE135" s="56"/>
      <c r="BF135" s="56"/>
      <c r="BG135" s="57"/>
      <c r="BL135" s="56"/>
      <c r="BM135" s="56"/>
      <c r="BO135" s="60"/>
      <c r="BQ135" s="60"/>
    </row>
    <row r="136" spans="1:80" ht="14.25" x14ac:dyDescent="0.45">
      <c r="A136"/>
      <c r="B136" s="32"/>
      <c r="C136" s="32"/>
      <c r="E136" s="46"/>
      <c r="G136"/>
      <c r="H136"/>
      <c r="I136"/>
      <c r="K136"/>
      <c r="L136"/>
      <c r="M136"/>
      <c r="N136" s="37"/>
      <c r="O136" s="37"/>
      <c r="P136" s="37"/>
      <c r="Q136" s="37"/>
      <c r="S136" s="38"/>
      <c r="W136" s="18"/>
      <c r="X136" s="39"/>
      <c r="Y136" s="39"/>
      <c r="Z136" s="38"/>
      <c r="AA136" s="38"/>
      <c r="AB136" s="39"/>
      <c r="AC136" s="39"/>
      <c r="AD136" s="40"/>
      <c r="AE136" s="18"/>
      <c r="AF136" s="18"/>
      <c r="AG136" s="18"/>
      <c r="AH136" s="18"/>
      <c r="AI136" s="18"/>
      <c r="AJ136" s="18"/>
      <c r="AK136" s="18"/>
      <c r="AL136" s="18"/>
      <c r="AM136" s="18"/>
      <c r="AN136" s="42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2"/>
      <c r="BE136" s="40"/>
      <c r="BF136" s="40"/>
      <c r="BG136" s="54"/>
      <c r="BI136" s="40"/>
      <c r="BJ136" s="61"/>
      <c r="BK136" s="61"/>
      <c r="BL136" s="40"/>
      <c r="BM136" s="40"/>
      <c r="BO136" s="37"/>
      <c r="BP136" s="37"/>
    </row>
    <row r="137" spans="1:80" x14ac:dyDescent="0.35">
      <c r="B137" s="32"/>
      <c r="C137" s="32"/>
      <c r="E137" s="32"/>
      <c r="F137" s="32"/>
      <c r="G137" s="32"/>
      <c r="H137" s="32"/>
      <c r="K137" s="32"/>
      <c r="L137" s="32"/>
      <c r="M137" s="34"/>
      <c r="N137" s="37"/>
      <c r="O137" s="37"/>
      <c r="P137" s="37"/>
      <c r="Q137" s="37"/>
      <c r="S137" s="38"/>
      <c r="W137" s="18"/>
      <c r="X137" s="39"/>
      <c r="Y137" s="39"/>
      <c r="Z137" s="38"/>
      <c r="AA137" s="38"/>
      <c r="AB137" s="39"/>
      <c r="AC137" s="39"/>
      <c r="AD137" s="40"/>
      <c r="AE137" s="18"/>
      <c r="AF137" s="18"/>
      <c r="AG137" s="18"/>
      <c r="AH137" s="18"/>
      <c r="AI137" s="18"/>
      <c r="AJ137" s="18"/>
      <c r="AK137" s="18"/>
      <c r="AL137" s="18"/>
      <c r="AM137" s="18"/>
      <c r="AN137" s="42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62"/>
      <c r="BE137" s="40"/>
      <c r="BF137" s="2"/>
      <c r="BG137" s="2"/>
      <c r="BI137" s="2"/>
      <c r="BJ137" s="2"/>
      <c r="BK137" s="2"/>
      <c r="BL137" s="40"/>
      <c r="BM137" s="40"/>
      <c r="BO137" s="37"/>
      <c r="BP137" s="37"/>
    </row>
    <row r="138" spans="1:80" x14ac:dyDescent="0.35">
      <c r="B138" s="32"/>
      <c r="C138" s="32"/>
      <c r="E138" s="32"/>
      <c r="F138" s="32"/>
      <c r="G138" s="32"/>
      <c r="H138" s="32"/>
      <c r="I138" s="32"/>
      <c r="L138" s="32"/>
      <c r="M138" s="32"/>
      <c r="N138" s="37"/>
      <c r="O138" s="37"/>
      <c r="P138" s="37"/>
      <c r="Q138" s="37"/>
      <c r="S138" s="38"/>
      <c r="W138" s="18"/>
      <c r="X138" s="39"/>
      <c r="Y138" s="39"/>
      <c r="Z138" s="38"/>
      <c r="AA138" s="38"/>
      <c r="AB138" s="39"/>
      <c r="AC138" s="39"/>
      <c r="AD138" s="40"/>
      <c r="AE138" s="18"/>
      <c r="AF138" s="18"/>
      <c r="AG138" s="18"/>
      <c r="AH138" s="18"/>
      <c r="AI138" s="18"/>
      <c r="AJ138" s="18"/>
      <c r="AK138" s="18"/>
      <c r="AL138" s="18"/>
      <c r="AM138" s="18"/>
      <c r="AN138" s="42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62"/>
      <c r="BE138" s="40"/>
      <c r="BF138" s="2"/>
      <c r="BG138" s="2"/>
      <c r="BI138" s="2"/>
      <c r="BJ138" s="2"/>
      <c r="BK138" s="2"/>
      <c r="BL138" s="40"/>
      <c r="BM138" s="40"/>
      <c r="BO138" s="37"/>
      <c r="BP138" s="37"/>
    </row>
    <row r="139" spans="1:80" x14ac:dyDescent="0.35">
      <c r="B139" s="32"/>
      <c r="C139" s="32"/>
      <c r="E139" s="32"/>
      <c r="F139" s="32"/>
      <c r="G139" s="32"/>
      <c r="H139" s="32"/>
      <c r="I139" s="32"/>
      <c r="L139" s="32"/>
      <c r="M139" s="32"/>
      <c r="N139" s="37"/>
      <c r="O139" s="37"/>
      <c r="P139" s="37"/>
      <c r="Q139" s="37"/>
      <c r="S139" s="38"/>
      <c r="W139" s="18"/>
      <c r="X139" s="39"/>
      <c r="Y139" s="39"/>
      <c r="Z139" s="38"/>
      <c r="AA139" s="38"/>
      <c r="AB139" s="39"/>
      <c r="AC139" s="39"/>
      <c r="AD139" s="40"/>
      <c r="AE139" s="18"/>
      <c r="AF139" s="18"/>
      <c r="AG139" s="18"/>
      <c r="AH139" s="18"/>
      <c r="AI139" s="18"/>
      <c r="AJ139" s="18"/>
      <c r="AK139" s="18"/>
      <c r="AL139" s="18"/>
      <c r="AM139" s="18"/>
      <c r="AN139" s="42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62"/>
      <c r="BE139" s="40"/>
      <c r="BF139" s="2"/>
      <c r="BG139" s="2"/>
      <c r="BI139" s="2"/>
      <c r="BJ139" s="2"/>
      <c r="BK139" s="2"/>
      <c r="BL139" s="40"/>
      <c r="BM139" s="40"/>
      <c r="BO139" s="37"/>
      <c r="BP139" s="37"/>
    </row>
    <row r="140" spans="1:80" x14ac:dyDescent="0.35">
      <c r="B140" s="32"/>
      <c r="C140" s="32"/>
      <c r="E140" s="32"/>
      <c r="F140" s="32"/>
      <c r="G140" s="32"/>
      <c r="H140" s="32"/>
      <c r="I140" s="32"/>
      <c r="L140" s="32"/>
      <c r="M140" s="32"/>
      <c r="N140" s="37"/>
      <c r="O140" s="37"/>
      <c r="P140" s="37"/>
      <c r="Q140" s="37"/>
      <c r="S140" s="38"/>
      <c r="W140" s="18"/>
      <c r="X140" s="39"/>
      <c r="Y140" s="39"/>
      <c r="Z140" s="38"/>
      <c r="AA140" s="38"/>
      <c r="AB140" s="39"/>
      <c r="AC140" s="39"/>
      <c r="AD140" s="40"/>
      <c r="AE140" s="18"/>
      <c r="AF140" s="18"/>
      <c r="AG140" s="18"/>
      <c r="AH140" s="18"/>
      <c r="AI140" s="18"/>
      <c r="AJ140" s="18"/>
      <c r="AK140" s="18"/>
      <c r="AL140" s="18"/>
      <c r="AM140" s="18"/>
      <c r="AN140" s="42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</row>
    <row r="141" spans="1:80" x14ac:dyDescent="0.35">
      <c r="B141" s="32"/>
      <c r="C141" s="32"/>
      <c r="E141" s="32"/>
      <c r="F141" s="32"/>
      <c r="G141" s="32"/>
      <c r="H141" s="32"/>
      <c r="I141" s="32"/>
      <c r="K141" s="32"/>
      <c r="L141" s="32"/>
      <c r="M141" s="32"/>
      <c r="N141" s="37"/>
      <c r="O141" s="37"/>
      <c r="P141" s="37"/>
      <c r="Q141" s="37"/>
      <c r="S141" s="38"/>
      <c r="W141" s="18"/>
      <c r="X141" s="39"/>
      <c r="Y141" s="39"/>
      <c r="Z141" s="38"/>
      <c r="AA141" s="38"/>
      <c r="AB141" s="39"/>
      <c r="AC141" s="39"/>
      <c r="AD141" s="40"/>
      <c r="AE141" s="18"/>
      <c r="AF141" s="18"/>
      <c r="AG141" s="18"/>
      <c r="AH141" s="18"/>
      <c r="AI141" s="18"/>
      <c r="AJ141" s="18"/>
      <c r="AK141" s="18"/>
      <c r="AL141" s="18"/>
      <c r="AM141" s="18"/>
      <c r="AN141" s="42"/>
      <c r="AO141" s="40"/>
      <c r="AP141" s="48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</row>
    <row r="142" spans="1:80" x14ac:dyDescent="0.35">
      <c r="B142" s="32"/>
      <c r="C142" s="32"/>
      <c r="E142" s="32"/>
      <c r="F142" s="32"/>
      <c r="G142" s="32"/>
      <c r="H142" s="32"/>
      <c r="I142" s="32"/>
      <c r="K142" s="32"/>
      <c r="L142" s="32"/>
      <c r="M142" s="32"/>
      <c r="N142" s="37"/>
      <c r="O142" s="37"/>
      <c r="P142" s="37"/>
      <c r="Q142" s="37"/>
      <c r="S142" s="38"/>
      <c r="W142" s="18"/>
      <c r="X142" s="39"/>
      <c r="Y142" s="39"/>
      <c r="Z142" s="38"/>
      <c r="AA142" s="38"/>
      <c r="AB142" s="39"/>
      <c r="AC142" s="39"/>
      <c r="AD142" s="40"/>
      <c r="AE142" s="18"/>
      <c r="AF142" s="18"/>
      <c r="AG142" s="18"/>
      <c r="AH142" s="18"/>
      <c r="AI142" s="18"/>
      <c r="AJ142" s="18"/>
      <c r="AK142" s="18"/>
      <c r="AL142" s="18"/>
      <c r="AM142" s="18"/>
      <c r="AN142" s="42"/>
      <c r="AO142" s="40"/>
      <c r="AP142" s="48"/>
      <c r="AV142" s="1"/>
      <c r="AW142" s="32"/>
      <c r="AX142" s="32"/>
      <c r="AY142" s="33"/>
      <c r="AZ142" s="34" t="e">
        <f>MEDIAN(#REF!)</f>
        <v>#REF!</v>
      </c>
      <c r="BA142" s="34"/>
      <c r="BB142" s="35"/>
      <c r="BZ142" s="18"/>
      <c r="CA142" s="41"/>
      <c r="CB142" s="41"/>
    </row>
    <row r="143" spans="1:80" x14ac:dyDescent="0.35">
      <c r="B143" s="32"/>
      <c r="C143" s="32"/>
      <c r="E143" s="32"/>
      <c r="F143" s="32"/>
      <c r="G143" s="32"/>
      <c r="H143" s="32"/>
      <c r="I143" s="32"/>
      <c r="L143" s="32"/>
      <c r="M143" s="32"/>
      <c r="N143" s="37"/>
      <c r="O143" s="37"/>
      <c r="P143" s="37"/>
      <c r="Q143" s="37"/>
      <c r="S143" s="38"/>
      <c r="W143" s="18"/>
      <c r="X143" s="39"/>
      <c r="Y143" s="39"/>
      <c r="Z143" s="38"/>
      <c r="AA143" s="38"/>
      <c r="AB143" s="39"/>
      <c r="AC143" s="39"/>
      <c r="AD143" s="40"/>
      <c r="AE143" s="18"/>
      <c r="AF143" s="18"/>
      <c r="AG143" s="18"/>
      <c r="AH143" s="18"/>
      <c r="AI143" s="18"/>
      <c r="AJ143" s="18"/>
      <c r="AK143" s="18"/>
      <c r="AL143" s="18"/>
      <c r="AM143" s="18"/>
      <c r="AN143" s="42"/>
      <c r="AO143" s="40"/>
      <c r="AP143" s="48"/>
      <c r="AW143" s="32"/>
      <c r="AX143" s="32"/>
      <c r="AY143" s="33"/>
      <c r="AZ143" s="34"/>
      <c r="BA143" s="34"/>
      <c r="BB143" s="35"/>
      <c r="BZ143" s="18"/>
      <c r="CA143" s="41"/>
      <c r="CB143" s="41"/>
    </row>
    <row r="144" spans="1:80" x14ac:dyDescent="0.35">
      <c r="B144" s="32"/>
      <c r="C144" s="32"/>
      <c r="E144" s="32"/>
      <c r="F144" s="32"/>
      <c r="G144" s="32"/>
      <c r="H144" s="32"/>
      <c r="I144" s="32"/>
      <c r="L144" s="32"/>
      <c r="M144" s="32"/>
      <c r="N144" s="37"/>
      <c r="O144" s="37"/>
      <c r="P144" s="37"/>
      <c r="Q144" s="37"/>
      <c r="S144" s="38"/>
      <c r="W144" s="18"/>
      <c r="X144" s="39"/>
      <c r="Y144" s="39"/>
      <c r="Z144" s="38"/>
      <c r="AA144" s="38"/>
      <c r="AB144" s="39"/>
      <c r="AC144" s="39"/>
      <c r="AD144" s="40"/>
      <c r="AE144" s="18"/>
      <c r="AF144" s="18"/>
      <c r="AG144" s="18"/>
      <c r="AH144" s="18"/>
      <c r="AI144" s="18"/>
      <c r="AJ144" s="18"/>
      <c r="AK144" s="18"/>
      <c r="AL144" s="18"/>
      <c r="AM144" s="18"/>
      <c r="AN144" s="42"/>
      <c r="AO144" s="40"/>
      <c r="AP144" s="48"/>
      <c r="AW144" s="32"/>
      <c r="AX144" s="32"/>
      <c r="AY144" s="33"/>
      <c r="AZ144" s="34"/>
      <c r="BA144" s="34"/>
      <c r="BB144" s="35"/>
      <c r="BZ144" s="18"/>
      <c r="CA144" s="41"/>
      <c r="CB144" s="41"/>
    </row>
    <row r="145" spans="2:80" x14ac:dyDescent="0.35">
      <c r="B145" s="32"/>
      <c r="C145" s="32"/>
      <c r="E145" s="32"/>
      <c r="F145" s="32"/>
      <c r="G145" s="32"/>
      <c r="H145" s="32"/>
      <c r="I145" s="32"/>
      <c r="L145" s="32"/>
      <c r="M145" s="32"/>
      <c r="N145" s="37"/>
      <c r="O145" s="37"/>
      <c r="P145" s="37"/>
      <c r="Q145" s="37"/>
      <c r="S145" s="38"/>
      <c r="W145" s="18"/>
      <c r="X145" s="39"/>
      <c r="Y145" s="39"/>
      <c r="Z145" s="38"/>
      <c r="AA145" s="38"/>
      <c r="AB145" s="39"/>
      <c r="AC145" s="39"/>
      <c r="AD145" s="40"/>
      <c r="AE145" s="18"/>
      <c r="AF145" s="18"/>
      <c r="AG145" s="18"/>
      <c r="AH145" s="18"/>
      <c r="AI145" s="18"/>
      <c r="AJ145" s="18"/>
      <c r="AK145" s="18"/>
      <c r="AL145" s="18"/>
      <c r="AM145" s="18"/>
      <c r="AN145" s="42"/>
      <c r="AO145" s="40"/>
      <c r="AP145" s="48"/>
      <c r="AW145" s="32"/>
      <c r="AX145" s="32"/>
      <c r="AY145" s="33"/>
      <c r="AZ145" s="34"/>
      <c r="BA145" s="34"/>
      <c r="BB145" s="35"/>
      <c r="BZ145" s="18"/>
      <c r="CA145" s="41"/>
      <c r="CB145" s="41"/>
    </row>
    <row r="146" spans="2:80" x14ac:dyDescent="0.35">
      <c r="B146" s="32"/>
      <c r="C146" s="32"/>
      <c r="E146" s="32"/>
      <c r="F146" s="32"/>
      <c r="G146" s="32"/>
      <c r="H146" s="32"/>
      <c r="I146" s="32"/>
      <c r="K146" s="32"/>
      <c r="L146" s="32"/>
      <c r="M146" s="32"/>
      <c r="N146" s="37"/>
      <c r="O146" s="37"/>
      <c r="P146" s="37"/>
      <c r="Q146" s="37"/>
      <c r="S146" s="38"/>
      <c r="W146" s="18"/>
      <c r="X146" s="39"/>
      <c r="Y146" s="39"/>
      <c r="Z146" s="38"/>
      <c r="AA146" s="38"/>
      <c r="AB146" s="39"/>
      <c r="AC146" s="39"/>
      <c r="AD146" s="40"/>
      <c r="AE146" s="18"/>
      <c r="AF146" s="18"/>
      <c r="AG146" s="18"/>
      <c r="AH146" s="18"/>
      <c r="AI146" s="18"/>
      <c r="AJ146" s="18"/>
      <c r="AK146" s="18"/>
      <c r="AL146" s="18"/>
      <c r="AM146" s="18"/>
      <c r="AN146" s="42"/>
      <c r="AO146" s="40"/>
      <c r="AP146" s="48"/>
      <c r="AW146" s="32"/>
      <c r="AX146" s="32"/>
      <c r="AY146" s="33"/>
      <c r="AZ146" s="34"/>
      <c r="BA146" s="34"/>
      <c r="BB146" s="35"/>
      <c r="BZ146" s="18"/>
      <c r="CA146" s="41"/>
      <c r="CB146" s="41"/>
    </row>
    <row r="147" spans="2:80" x14ac:dyDescent="0.35">
      <c r="B147" s="32"/>
      <c r="C147" s="32"/>
      <c r="S147" s="38"/>
      <c r="W147" s="18"/>
      <c r="X147" s="39"/>
      <c r="Y147" s="39"/>
      <c r="Z147" s="38"/>
      <c r="AA147" s="38"/>
      <c r="AB147" s="39"/>
      <c r="AC147" s="39"/>
      <c r="AD147" s="40"/>
      <c r="AE147" s="18"/>
      <c r="AF147" s="18"/>
      <c r="AG147" s="18"/>
      <c r="AH147" s="18"/>
      <c r="AI147" s="18"/>
      <c r="AJ147" s="18"/>
      <c r="AK147" s="18"/>
      <c r="AL147" s="18"/>
      <c r="AM147" s="18"/>
      <c r="AN147" s="42"/>
      <c r="AO147" s="40"/>
      <c r="AP147" s="48"/>
      <c r="AW147" s="32"/>
      <c r="AX147" s="32"/>
      <c r="AY147" s="33"/>
      <c r="AZ147" s="34"/>
      <c r="BA147" s="34"/>
      <c r="BB147" s="35"/>
      <c r="BZ147" s="18"/>
      <c r="CA147" s="41"/>
      <c r="CB147" s="41"/>
    </row>
    <row r="148" spans="2:80" x14ac:dyDescent="0.35">
      <c r="B148" s="32"/>
      <c r="C148" s="32"/>
      <c r="E148" s="32"/>
      <c r="G148" s="32"/>
      <c r="H148" s="32"/>
      <c r="I148" s="32"/>
      <c r="K148" s="32"/>
      <c r="L148" s="32"/>
      <c r="M148" s="32"/>
      <c r="N148" s="37"/>
      <c r="O148" s="37"/>
      <c r="P148" s="37"/>
      <c r="Q148" s="37"/>
      <c r="S148" s="38"/>
      <c r="W148" s="18"/>
      <c r="X148" s="39"/>
      <c r="Y148" s="39"/>
      <c r="Z148" s="38"/>
      <c r="AA148" s="38"/>
      <c r="AB148" s="39"/>
      <c r="AC148" s="39"/>
      <c r="AD148" s="40"/>
      <c r="AE148" s="18"/>
      <c r="AF148" s="18"/>
      <c r="AG148" s="18"/>
      <c r="AH148" s="18"/>
      <c r="AI148" s="18"/>
      <c r="AJ148" s="18"/>
      <c r="AK148" s="18"/>
      <c r="AL148" s="18"/>
      <c r="AM148" s="18"/>
      <c r="AN148" s="42"/>
      <c r="AO148" s="40"/>
      <c r="AP148" s="48"/>
      <c r="AV148" s="1"/>
      <c r="AW148" s="32"/>
      <c r="AX148" s="32"/>
      <c r="AY148" s="33"/>
      <c r="AZ148" s="34"/>
      <c r="BA148" s="34"/>
      <c r="BB148" s="35"/>
      <c r="BZ148" s="18"/>
      <c r="CA148" s="41"/>
      <c r="CB148" s="41"/>
    </row>
    <row r="149" spans="2:80" x14ac:dyDescent="0.35">
      <c r="B149" s="32"/>
      <c r="C149" s="32"/>
      <c r="G149" s="37"/>
      <c r="H149" s="37"/>
      <c r="I149" s="37"/>
      <c r="K149" s="12"/>
      <c r="L149" s="37"/>
      <c r="M149" s="37"/>
      <c r="N149" s="37"/>
      <c r="O149" s="37"/>
      <c r="P149" s="37"/>
      <c r="Q149" s="37"/>
      <c r="S149" s="38"/>
      <c r="W149" s="18"/>
      <c r="X149" s="39"/>
      <c r="Y149" s="39"/>
      <c r="Z149" s="38"/>
      <c r="AA149" s="38"/>
      <c r="AB149" s="39"/>
      <c r="AC149" s="39"/>
      <c r="AD149" s="40"/>
      <c r="AE149" s="18"/>
      <c r="AF149" s="18"/>
      <c r="AG149" s="18"/>
      <c r="AH149" s="18"/>
      <c r="AI149" s="18"/>
      <c r="AJ149" s="18"/>
      <c r="AK149" s="18"/>
      <c r="AL149" s="18"/>
      <c r="AM149" s="18"/>
      <c r="AN149" s="42"/>
      <c r="AO149" s="40"/>
      <c r="AP149" s="48"/>
      <c r="AV149" s="1"/>
      <c r="AW149" s="32"/>
      <c r="AX149" s="32"/>
      <c r="AY149" s="33"/>
      <c r="AZ149" s="34"/>
      <c r="BA149" s="34"/>
      <c r="BB149" s="35"/>
      <c r="BZ149" s="18"/>
      <c r="CA149" s="41"/>
      <c r="CB149" s="41"/>
    </row>
    <row r="150" spans="2:80" x14ac:dyDescent="0.35">
      <c r="B150" s="32"/>
      <c r="C150" s="32"/>
      <c r="G150" s="32"/>
      <c r="H150" s="32"/>
      <c r="I150" s="32"/>
      <c r="K150" s="32"/>
      <c r="L150" s="32"/>
      <c r="M150" s="32"/>
      <c r="N150" s="37"/>
      <c r="O150" s="37"/>
      <c r="P150" s="37"/>
      <c r="Q150" s="37"/>
      <c r="S150" s="38"/>
      <c r="W150" s="18"/>
      <c r="X150" s="39"/>
      <c r="Y150" s="39"/>
      <c r="Z150" s="38"/>
      <c r="AA150" s="38"/>
      <c r="AB150" s="39"/>
      <c r="AC150" s="39"/>
      <c r="AD150" s="40"/>
      <c r="AE150" s="18"/>
      <c r="AF150" s="18"/>
      <c r="AG150" s="18"/>
      <c r="AH150" s="18"/>
      <c r="AI150" s="18"/>
      <c r="AJ150" s="18"/>
      <c r="AK150" s="18"/>
      <c r="AL150" s="18"/>
      <c r="AM150" s="18"/>
      <c r="AN150" s="42"/>
      <c r="AO150" s="40"/>
      <c r="AP150" s="48"/>
      <c r="AV150" s="1"/>
      <c r="AW150" s="32"/>
      <c r="AX150" s="32"/>
      <c r="AY150" s="33"/>
      <c r="AZ150" s="34"/>
      <c r="BA150" s="34"/>
      <c r="BB150" s="35"/>
      <c r="BZ150" s="18"/>
      <c r="CA150" s="41"/>
      <c r="CB150" s="41"/>
    </row>
    <row r="151" spans="2:80" x14ac:dyDescent="0.35">
      <c r="B151" s="32"/>
      <c r="C151" s="32"/>
      <c r="G151" s="37"/>
      <c r="H151" s="37"/>
      <c r="I151" s="37"/>
      <c r="K151" s="12"/>
      <c r="L151" s="37"/>
      <c r="M151" s="37"/>
      <c r="N151" s="37"/>
      <c r="O151" s="37"/>
      <c r="P151" s="37"/>
      <c r="Q151" s="37"/>
      <c r="S151" s="38"/>
      <c r="W151" s="18"/>
      <c r="X151" s="39"/>
      <c r="Y151" s="39"/>
      <c r="Z151" s="38"/>
      <c r="AA151" s="38"/>
      <c r="AB151" s="39"/>
      <c r="AC151" s="39"/>
      <c r="AD151" s="40"/>
      <c r="AE151" s="18"/>
      <c r="AF151" s="18"/>
      <c r="AG151" s="18"/>
      <c r="AH151" s="18"/>
      <c r="AI151" s="18"/>
      <c r="AJ151" s="18"/>
      <c r="AK151" s="18"/>
      <c r="AL151" s="18"/>
      <c r="AM151" s="18"/>
      <c r="AN151" s="42"/>
      <c r="AO151" s="40"/>
      <c r="AP151" s="48"/>
      <c r="AV151" s="1"/>
      <c r="AW151" s="32"/>
      <c r="AX151" s="32"/>
      <c r="AY151" s="33"/>
      <c r="AZ151" s="34"/>
      <c r="BA151" s="34"/>
      <c r="BB151" s="35"/>
      <c r="BZ151" s="18"/>
      <c r="CA151" s="41"/>
      <c r="CB151" s="41"/>
    </row>
    <row r="152" spans="2:80" x14ac:dyDescent="0.35">
      <c r="B152" s="32"/>
      <c r="C152" s="32"/>
      <c r="G152" s="32"/>
      <c r="H152" s="32"/>
      <c r="I152" s="32"/>
      <c r="K152" s="32"/>
      <c r="L152" s="32"/>
      <c r="M152" s="32"/>
      <c r="N152" s="37"/>
      <c r="O152" s="37"/>
      <c r="P152" s="37"/>
      <c r="Q152" s="37"/>
      <c r="S152" s="38"/>
      <c r="W152" s="18"/>
      <c r="X152" s="39"/>
      <c r="Y152" s="39"/>
      <c r="Z152" s="38"/>
      <c r="AA152" s="38"/>
      <c r="AB152" s="39"/>
      <c r="AC152" s="39"/>
      <c r="AD152" s="40"/>
      <c r="AE152" s="18"/>
      <c r="AF152" s="18"/>
      <c r="AG152" s="18"/>
      <c r="AH152" s="18"/>
      <c r="AI152" s="18"/>
      <c r="AJ152" s="18"/>
      <c r="AK152" s="18"/>
      <c r="AL152" s="18"/>
      <c r="AM152" s="18"/>
      <c r="AN152" s="42"/>
      <c r="AO152" s="40"/>
      <c r="AP152" s="48"/>
      <c r="AV152" s="1"/>
      <c r="AW152" s="32"/>
      <c r="AX152" s="32"/>
      <c r="AY152" s="33"/>
      <c r="AZ152" s="34"/>
      <c r="BA152" s="34"/>
      <c r="BB152" s="35"/>
      <c r="BZ152" s="18"/>
      <c r="CA152" s="41"/>
      <c r="CB152" s="41"/>
    </row>
    <row r="153" spans="2:80" x14ac:dyDescent="0.35">
      <c r="B153" s="32"/>
      <c r="C153" s="32"/>
      <c r="G153" s="32"/>
      <c r="H153" s="32"/>
      <c r="I153" s="32"/>
      <c r="K153" s="32"/>
      <c r="L153" s="32"/>
      <c r="M153" s="32"/>
      <c r="N153" s="37"/>
      <c r="O153" s="37"/>
      <c r="P153" s="37"/>
      <c r="Q153" s="37"/>
      <c r="S153" s="38"/>
      <c r="W153" s="18"/>
      <c r="X153" s="39"/>
      <c r="Y153" s="39"/>
      <c r="Z153" s="38"/>
      <c r="AA153" s="38"/>
      <c r="AB153" s="39"/>
      <c r="AC153" s="39"/>
      <c r="AD153" s="40"/>
      <c r="AE153" s="18"/>
      <c r="AF153" s="18"/>
      <c r="AG153" s="18"/>
      <c r="AH153" s="18"/>
      <c r="AI153" s="18"/>
      <c r="AJ153" s="18"/>
      <c r="AK153" s="18"/>
      <c r="AL153" s="18"/>
      <c r="AM153" s="18"/>
      <c r="AN153" s="42"/>
      <c r="AO153" s="40"/>
      <c r="AP153" s="48"/>
      <c r="AV153" s="1"/>
      <c r="AW153" s="32"/>
      <c r="AX153" s="32"/>
      <c r="AY153" s="33"/>
      <c r="AZ153" s="34"/>
      <c r="BA153" s="34"/>
      <c r="BB153" s="35"/>
      <c r="BC153" s="35"/>
      <c r="BD153" s="35"/>
      <c r="BE153" s="35"/>
      <c r="BF153" s="35"/>
      <c r="BG153" s="35"/>
      <c r="BH153" s="37"/>
      <c r="BI153" s="36"/>
      <c r="BJ153" s="3"/>
      <c r="BK153" s="3"/>
      <c r="BL153" s="3"/>
      <c r="BM153" s="3"/>
      <c r="BN153" s="3"/>
      <c r="BO153" s="39"/>
      <c r="BP153" s="39"/>
      <c r="BQ153" s="38"/>
      <c r="BR153" s="38"/>
      <c r="BS153" s="39"/>
      <c r="BT153" s="39"/>
      <c r="BU153" s="40"/>
      <c r="BV153" s="18"/>
      <c r="BW153" s="18"/>
      <c r="BX153" s="18"/>
      <c r="BY153" s="18"/>
      <c r="BZ153" s="18"/>
      <c r="CA153" s="41"/>
      <c r="CB153" s="41"/>
    </row>
    <row r="154" spans="2:80" x14ac:dyDescent="0.35">
      <c r="B154" s="32"/>
      <c r="C154" s="32"/>
      <c r="G154" s="37"/>
      <c r="H154" s="37"/>
      <c r="I154"/>
      <c r="K154" s="12"/>
      <c r="L154" s="37"/>
      <c r="M154" s="37"/>
      <c r="N154" s="37"/>
      <c r="O154" s="37"/>
      <c r="P154" s="37"/>
      <c r="Q154" s="37"/>
      <c r="S154" s="38"/>
      <c r="W154" s="18"/>
      <c r="X154" s="39"/>
      <c r="Y154" s="39"/>
      <c r="Z154" s="38"/>
      <c r="AA154" s="38"/>
      <c r="AB154" s="39"/>
      <c r="AC154" s="39"/>
      <c r="AD154" s="40"/>
      <c r="AE154" s="18"/>
      <c r="AF154" s="18"/>
      <c r="AG154" s="18"/>
      <c r="AH154" s="18"/>
      <c r="AI154" s="18"/>
      <c r="AJ154" s="18"/>
      <c r="AK154" s="18"/>
      <c r="AL154" s="18"/>
      <c r="AM154" s="18"/>
      <c r="AN154" s="42"/>
      <c r="AO154" s="40"/>
      <c r="AP154" s="48"/>
      <c r="AV154" s="1"/>
      <c r="AW154" s="32"/>
      <c r="AX154" s="32"/>
      <c r="AY154" s="33"/>
      <c r="AZ154" s="34"/>
      <c r="BA154" s="34"/>
      <c r="BB154" s="35"/>
      <c r="BC154" s="35"/>
      <c r="BD154" s="35"/>
      <c r="BE154" s="35"/>
      <c r="BF154" s="35"/>
      <c r="BG154" s="35"/>
      <c r="BH154" s="37"/>
      <c r="BI154" s="36"/>
      <c r="BJ154" s="3"/>
      <c r="BK154" s="3"/>
      <c r="BL154" s="3"/>
      <c r="BM154" s="3"/>
      <c r="BN154" s="3"/>
      <c r="BO154" s="39"/>
      <c r="BP154" s="39"/>
      <c r="BQ154" s="38"/>
      <c r="BR154" s="38"/>
      <c r="BS154" s="39"/>
      <c r="BT154" s="39"/>
      <c r="BU154" s="40"/>
      <c r="BV154" s="18"/>
      <c r="BW154" s="18"/>
      <c r="BX154" s="18"/>
      <c r="BY154" s="18"/>
      <c r="BZ154" s="18"/>
      <c r="CA154" s="41"/>
      <c r="CB154" s="41"/>
    </row>
    <row r="155" spans="2:80" x14ac:dyDescent="0.35">
      <c r="B155" s="32"/>
      <c r="C155" s="32"/>
      <c r="G155" s="32"/>
      <c r="H155" s="32"/>
      <c r="I155" s="34"/>
      <c r="K155" s="32"/>
      <c r="L155" s="32"/>
      <c r="M155" s="32"/>
      <c r="N155" s="37"/>
      <c r="O155" s="37"/>
      <c r="P155" s="37"/>
      <c r="Q155" s="37"/>
      <c r="S155" s="38"/>
      <c r="W155" s="18"/>
      <c r="X155" s="39"/>
      <c r="Y155" s="39"/>
      <c r="Z155" s="38"/>
      <c r="AA155" s="38"/>
      <c r="AB155" s="39"/>
      <c r="AC155" s="39"/>
      <c r="AD155" s="40"/>
      <c r="AE155" s="18"/>
      <c r="AF155" s="18"/>
      <c r="AG155" s="18"/>
      <c r="AH155" s="18"/>
      <c r="AI155" s="18"/>
      <c r="AJ155" s="18"/>
      <c r="AK155" s="18"/>
      <c r="AL155" s="18"/>
      <c r="AM155" s="18"/>
      <c r="AN155" s="42"/>
      <c r="AO155" s="40"/>
      <c r="AP155" s="48"/>
    </row>
    <row r="156" spans="2:80" x14ac:dyDescent="0.35">
      <c r="B156" s="32"/>
      <c r="C156" s="32"/>
      <c r="G156" s="32"/>
      <c r="H156" s="32"/>
      <c r="I156" s="34"/>
      <c r="K156" s="32"/>
      <c r="L156" s="32"/>
      <c r="M156" s="32"/>
      <c r="N156" s="37"/>
      <c r="O156" s="37"/>
      <c r="P156" s="37"/>
      <c r="Q156" s="37"/>
      <c r="S156" s="38"/>
      <c r="W156" s="18"/>
      <c r="X156" s="39"/>
      <c r="Y156" s="39"/>
      <c r="Z156" s="38"/>
      <c r="AA156" s="38"/>
      <c r="AB156" s="39"/>
      <c r="AC156" s="39"/>
      <c r="AD156" s="40"/>
      <c r="AE156" s="18"/>
      <c r="AF156" s="18"/>
      <c r="AG156" s="18"/>
      <c r="AH156" s="18"/>
      <c r="AI156" s="18"/>
      <c r="AJ156" s="18"/>
      <c r="AK156" s="18"/>
      <c r="AL156" s="18"/>
      <c r="AM156" s="18"/>
      <c r="AN156" s="42"/>
      <c r="AO156" s="40"/>
      <c r="AP156" s="48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62"/>
      <c r="BE156" s="40"/>
      <c r="BF156" s="2"/>
      <c r="BG156" s="2"/>
      <c r="BI156" s="2"/>
      <c r="BJ156" s="2"/>
      <c r="BK156" s="2"/>
      <c r="BL156" s="40"/>
      <c r="BM156" s="40"/>
      <c r="BO156" s="37"/>
      <c r="BP156" s="37"/>
    </row>
    <row r="157" spans="2:80" x14ac:dyDescent="0.35">
      <c r="B157" s="32"/>
      <c r="C157" s="32"/>
      <c r="G157" s="32"/>
      <c r="H157" s="32"/>
      <c r="I157" s="34"/>
      <c r="L157" s="32"/>
      <c r="M157" s="32"/>
      <c r="N157" s="37"/>
      <c r="O157" s="37"/>
      <c r="P157" s="37"/>
      <c r="Q157" s="37"/>
      <c r="S157" s="38"/>
      <c r="W157" s="18"/>
      <c r="X157" s="39"/>
      <c r="Y157" s="39"/>
      <c r="Z157" s="38"/>
      <c r="AA157" s="38"/>
      <c r="AB157" s="39"/>
      <c r="AC157" s="39"/>
      <c r="AD157" s="40"/>
      <c r="AE157" s="18"/>
      <c r="AF157" s="18"/>
      <c r="AG157" s="18"/>
      <c r="AH157" s="18"/>
      <c r="AI157" s="18"/>
      <c r="AJ157" s="18"/>
      <c r="AK157" s="18"/>
      <c r="AL157" s="18"/>
      <c r="AM157" s="18"/>
      <c r="AN157" s="42"/>
      <c r="AO157" s="40"/>
      <c r="AP157" s="48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62"/>
      <c r="BE157" s="40"/>
      <c r="BF157" s="2"/>
      <c r="BG157" s="2"/>
      <c r="BI157" s="2"/>
      <c r="BJ157" s="2"/>
      <c r="BK157" s="2"/>
      <c r="BL157" s="40"/>
      <c r="BM157" s="40"/>
      <c r="BO157" s="37"/>
      <c r="BP157" s="37"/>
    </row>
    <row r="158" spans="2:80" x14ac:dyDescent="0.35">
      <c r="B158" s="32"/>
      <c r="C158" s="32"/>
      <c r="G158" s="32"/>
      <c r="H158" s="32"/>
      <c r="I158" s="34"/>
      <c r="K158" s="32"/>
      <c r="L158" s="32"/>
      <c r="M158" s="32"/>
      <c r="N158" s="37"/>
      <c r="O158" s="37"/>
      <c r="P158" s="37"/>
      <c r="Q158" s="37"/>
      <c r="W158" s="18"/>
      <c r="X158" s="39"/>
      <c r="Y158" s="39"/>
      <c r="Z158" s="38"/>
      <c r="AA158" s="38"/>
      <c r="AB158" s="39"/>
      <c r="AC158" s="39"/>
      <c r="AD158" s="40"/>
      <c r="AE158" s="18"/>
      <c r="AF158" s="18"/>
      <c r="AG158" s="18"/>
      <c r="AH158" s="18"/>
      <c r="AI158" s="18"/>
      <c r="AJ158" s="18"/>
      <c r="AK158" s="18"/>
      <c r="AL158" s="18"/>
      <c r="AM158" s="18"/>
      <c r="AN158" s="42"/>
      <c r="AO158" s="40"/>
      <c r="AP158" s="48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62"/>
      <c r="BE158" s="40"/>
      <c r="BF158" s="2"/>
      <c r="BG158" s="2"/>
      <c r="BI158" s="2"/>
      <c r="BJ158" s="2"/>
      <c r="BK158" s="2"/>
      <c r="BL158" s="40"/>
      <c r="BM158" s="40"/>
      <c r="BO158" s="37"/>
      <c r="BP158" s="37"/>
    </row>
    <row r="159" spans="2:80" x14ac:dyDescent="0.35">
      <c r="B159" s="32"/>
      <c r="C159" s="32"/>
      <c r="G159" s="37"/>
      <c r="H159" s="37"/>
      <c r="I159"/>
      <c r="K159" s="12"/>
      <c r="L159" s="37"/>
      <c r="M159" s="37"/>
      <c r="N159" s="37"/>
      <c r="O159" s="37"/>
      <c r="P159" s="37"/>
      <c r="Q159" s="37"/>
      <c r="W159" s="18"/>
      <c r="X159" s="39"/>
      <c r="Y159" s="39"/>
      <c r="Z159" s="38"/>
      <c r="AA159" s="38"/>
      <c r="AB159" s="39"/>
      <c r="AC159" s="39"/>
      <c r="AD159" s="40"/>
      <c r="AE159" s="18"/>
      <c r="AF159" s="18"/>
      <c r="AG159" s="18"/>
      <c r="AH159" s="18"/>
      <c r="AI159" s="18"/>
      <c r="AJ159" s="18"/>
      <c r="AK159" s="18"/>
      <c r="AL159" s="18"/>
      <c r="AM159" s="18"/>
      <c r="AN159" s="42"/>
      <c r="AO159" s="40"/>
      <c r="AP159" s="48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63"/>
      <c r="BE159" s="40"/>
      <c r="BF159" s="2"/>
      <c r="BG159" s="2"/>
      <c r="BI159" s="2"/>
      <c r="BJ159" s="2"/>
      <c r="BK159" s="2"/>
      <c r="BL159" s="40"/>
      <c r="BM159" s="40"/>
      <c r="BO159" s="37"/>
      <c r="BP159" s="37"/>
    </row>
    <row r="160" spans="2:80" x14ac:dyDescent="0.35">
      <c r="B160" s="32"/>
      <c r="C160" s="32"/>
      <c r="E160" s="32"/>
      <c r="F160" s="32"/>
      <c r="G160" s="32"/>
      <c r="H160" s="32"/>
      <c r="I160" s="34"/>
      <c r="L160" s="32"/>
      <c r="M160" s="32"/>
      <c r="N160" s="32"/>
      <c r="O160" s="37"/>
      <c r="P160" s="37"/>
      <c r="Q160" s="37"/>
      <c r="W160" s="18"/>
      <c r="X160" s="39"/>
      <c r="Y160" s="39"/>
      <c r="Z160" s="38"/>
      <c r="AA160" s="38"/>
      <c r="AB160" s="39"/>
      <c r="AC160" s="39"/>
      <c r="AD160" s="40"/>
      <c r="AE160" s="18"/>
      <c r="AF160" s="18"/>
      <c r="AG160" s="18"/>
      <c r="AH160" s="18"/>
      <c r="AI160" s="18"/>
      <c r="AJ160" s="18"/>
      <c r="AK160" s="18"/>
      <c r="AL160" s="18"/>
      <c r="AM160" s="18"/>
      <c r="AN160" s="42"/>
      <c r="AO160" s="40"/>
      <c r="AP160" s="48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62"/>
      <c r="BE160" s="40"/>
      <c r="BF160" s="2"/>
      <c r="BG160" s="2"/>
      <c r="BI160" s="2"/>
      <c r="BJ160" s="2"/>
      <c r="BK160" s="2"/>
      <c r="BL160" s="40"/>
      <c r="BM160" s="40"/>
      <c r="BO160" s="37"/>
      <c r="BP160" s="37"/>
    </row>
    <row r="161" spans="2:68" ht="14.55" customHeight="1" x14ac:dyDescent="0.35">
      <c r="B161" s="32"/>
      <c r="C161" s="32"/>
      <c r="E161" s="32"/>
      <c r="F161" s="32"/>
      <c r="G161" s="32"/>
      <c r="H161" s="32"/>
      <c r="I161" s="34"/>
      <c r="L161" s="32"/>
      <c r="M161" s="32"/>
      <c r="N161" s="37"/>
      <c r="O161" s="37"/>
      <c r="P161" s="37"/>
      <c r="Q161" s="37"/>
      <c r="W161" s="18"/>
      <c r="X161" s="39"/>
      <c r="Y161" s="39"/>
      <c r="Z161" s="38"/>
      <c r="AA161" s="38"/>
      <c r="AB161" s="39"/>
      <c r="AC161" s="39"/>
      <c r="AD161" s="40"/>
      <c r="AE161" s="18"/>
      <c r="AF161" s="18"/>
      <c r="AG161" s="18"/>
      <c r="AH161" s="18"/>
      <c r="AI161" s="18"/>
      <c r="AJ161" s="18"/>
      <c r="AK161" s="18"/>
      <c r="AL161" s="18"/>
      <c r="AM161" s="18"/>
      <c r="AN161" s="42"/>
      <c r="AO161" s="40"/>
      <c r="AP161" s="48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62"/>
      <c r="BE161" s="40"/>
      <c r="BF161" s="2"/>
      <c r="BG161" s="2"/>
      <c r="BI161" s="2"/>
      <c r="BJ161" s="2"/>
      <c r="BK161" s="2"/>
      <c r="BL161" s="40"/>
      <c r="BM161" s="40"/>
      <c r="BO161" s="37"/>
      <c r="BP161" s="37"/>
    </row>
    <row r="162" spans="2:68" ht="13.5" customHeight="1" x14ac:dyDescent="0.35">
      <c r="B162" s="32"/>
      <c r="C162" s="32"/>
      <c r="E162" s="32"/>
      <c r="F162" s="32"/>
      <c r="G162" s="32"/>
      <c r="H162" s="32"/>
      <c r="I162" s="34"/>
      <c r="K162" s="32"/>
      <c r="L162" s="32"/>
      <c r="M162" s="32"/>
      <c r="N162" s="37"/>
      <c r="O162" s="37"/>
      <c r="P162" s="37"/>
      <c r="Q162" s="37"/>
      <c r="W162" s="18"/>
      <c r="X162" s="39"/>
      <c r="Y162" s="39"/>
      <c r="Z162" s="38"/>
      <c r="AA162" s="38"/>
      <c r="AB162" s="39"/>
      <c r="AC162" s="39"/>
      <c r="AD162" s="40"/>
      <c r="AE162" s="18"/>
      <c r="AF162" s="18"/>
      <c r="AG162" s="18"/>
      <c r="AH162" s="18"/>
      <c r="AI162" s="18"/>
      <c r="AJ162" s="18"/>
      <c r="AK162" s="18"/>
      <c r="AL162" s="18"/>
      <c r="AM162" s="18"/>
      <c r="AN162" s="42"/>
      <c r="AO162" s="40"/>
      <c r="AP162" s="48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62"/>
      <c r="BE162" s="40"/>
      <c r="BF162" s="2"/>
      <c r="BG162" s="2"/>
      <c r="BI162" s="2"/>
      <c r="BJ162" s="2"/>
      <c r="BK162" s="2"/>
      <c r="BL162" s="40"/>
      <c r="BM162" s="40"/>
      <c r="BO162" s="37"/>
      <c r="BP162" s="37"/>
    </row>
    <row r="163" spans="2:68" x14ac:dyDescent="0.4">
      <c r="B163" s="32"/>
      <c r="C163" s="32"/>
      <c r="E163" s="32"/>
      <c r="F163" s="32"/>
      <c r="G163" s="32"/>
      <c r="H163" s="32"/>
      <c r="I163" s="34"/>
      <c r="M163" s="32"/>
      <c r="N163" s="37"/>
      <c r="O163" s="37"/>
      <c r="P163" s="37"/>
      <c r="Q163" s="37"/>
      <c r="W163" s="18"/>
      <c r="X163" s="39"/>
      <c r="Y163" s="39"/>
      <c r="Z163" s="38"/>
      <c r="AA163" s="38"/>
      <c r="AB163" s="39"/>
      <c r="AC163" s="39"/>
      <c r="AD163" s="40"/>
      <c r="AE163" s="18"/>
      <c r="AF163" s="18"/>
      <c r="AG163" s="18"/>
      <c r="AH163" s="18"/>
      <c r="AI163" s="18"/>
      <c r="AJ163" s="18"/>
      <c r="AK163" s="18"/>
      <c r="AL163" s="18"/>
      <c r="AM163" s="18"/>
      <c r="AN163" s="42"/>
      <c r="AO163" s="40"/>
      <c r="AP163" s="21"/>
      <c r="AQ163" s="20"/>
      <c r="AR163" s="64"/>
      <c r="AS163" s="64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62"/>
      <c r="BE163" s="40"/>
      <c r="BF163" s="2"/>
      <c r="BG163" s="2"/>
      <c r="BI163" s="2"/>
      <c r="BJ163" s="2"/>
      <c r="BK163" s="2"/>
      <c r="BL163" s="40"/>
      <c r="BM163" s="40"/>
      <c r="BO163" s="37"/>
      <c r="BP163" s="37"/>
    </row>
    <row r="164" spans="2:68" x14ac:dyDescent="0.35">
      <c r="B164" s="32"/>
      <c r="C164" s="32"/>
      <c r="E164" s="32"/>
      <c r="F164" s="32"/>
      <c r="G164" s="32"/>
      <c r="H164" s="32"/>
      <c r="I164" s="34"/>
      <c r="L164" s="32"/>
      <c r="M164" s="32"/>
      <c r="N164" s="37"/>
      <c r="O164" s="37"/>
      <c r="P164" s="37"/>
      <c r="Q164" s="37"/>
      <c r="W164" s="18"/>
      <c r="X164" s="39"/>
      <c r="Y164" s="39"/>
      <c r="Z164" s="38"/>
      <c r="AA164" s="38"/>
      <c r="AB164" s="39"/>
      <c r="AC164" s="39"/>
      <c r="AD164" s="40"/>
      <c r="AE164" s="18"/>
      <c r="AF164" s="18"/>
      <c r="AG164" s="18"/>
      <c r="AH164" s="18"/>
      <c r="AI164" s="18"/>
      <c r="AJ164" s="18"/>
      <c r="AK164" s="18"/>
      <c r="AL164" s="18"/>
      <c r="AM164" s="18"/>
      <c r="AN164" s="42"/>
      <c r="AO164" s="40"/>
      <c r="AP164" s="65"/>
      <c r="AQ164" s="3"/>
      <c r="AR164" s="64"/>
      <c r="AS164" s="64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62"/>
      <c r="BE164" s="40"/>
      <c r="BF164" s="2"/>
      <c r="BG164" s="2"/>
      <c r="BI164" s="2"/>
      <c r="BJ164" s="2"/>
      <c r="BK164" s="2"/>
      <c r="BL164" s="40"/>
      <c r="BM164" s="40"/>
      <c r="BO164" s="37"/>
      <c r="BP164" s="37"/>
    </row>
    <row r="165" spans="2:68" x14ac:dyDescent="0.35">
      <c r="B165" s="32"/>
      <c r="C165" s="32"/>
      <c r="E165" s="32"/>
      <c r="F165" s="32"/>
      <c r="G165" s="32"/>
      <c r="H165" s="32"/>
      <c r="I165" s="34"/>
      <c r="L165" s="32"/>
      <c r="M165" s="32"/>
      <c r="N165" s="37"/>
      <c r="O165" s="37"/>
      <c r="P165" s="37"/>
      <c r="Q165" s="37"/>
      <c r="W165" s="18"/>
      <c r="X165" s="39"/>
      <c r="Y165" s="39"/>
      <c r="Z165" s="38"/>
      <c r="AA165" s="38"/>
      <c r="AB165" s="39"/>
      <c r="AC165" s="39"/>
      <c r="AD165" s="40"/>
      <c r="AE165" s="18"/>
      <c r="AF165" s="18"/>
      <c r="AG165" s="18"/>
      <c r="AH165" s="18"/>
      <c r="AI165" s="18"/>
      <c r="AJ165" s="18"/>
      <c r="AK165" s="18"/>
      <c r="AL165" s="18"/>
      <c r="AM165" s="18"/>
      <c r="AN165" s="42"/>
      <c r="AO165" s="40"/>
      <c r="AP165" s="65"/>
      <c r="AQ165" s="3"/>
      <c r="AR165" s="64"/>
      <c r="AS165" s="64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63"/>
      <c r="BE165" s="40"/>
      <c r="BF165" s="2"/>
      <c r="BG165" s="2"/>
      <c r="BI165" s="2"/>
      <c r="BJ165" s="2"/>
      <c r="BK165" s="2"/>
      <c r="BL165" s="40"/>
      <c r="BM165" s="40"/>
      <c r="BO165" s="37"/>
      <c r="BP165" s="37"/>
    </row>
    <row r="166" spans="2:68" x14ac:dyDescent="0.35">
      <c r="B166" s="32"/>
      <c r="C166" s="32"/>
      <c r="E166" s="32"/>
      <c r="F166" s="32"/>
      <c r="G166" s="32"/>
      <c r="H166" s="32"/>
      <c r="I166" s="34"/>
      <c r="K166" s="32"/>
      <c r="L166" s="32"/>
      <c r="M166" s="32"/>
      <c r="N166" s="37"/>
      <c r="O166" s="37"/>
      <c r="P166" s="37"/>
      <c r="Q166" s="37"/>
      <c r="W166" s="18"/>
      <c r="X166" s="39"/>
      <c r="Y166" s="39"/>
      <c r="Z166" s="38"/>
      <c r="AA166" s="38"/>
      <c r="AB166" s="39"/>
      <c r="AC166" s="39"/>
      <c r="AD166" s="40"/>
      <c r="AE166" s="18"/>
      <c r="AF166" s="18"/>
      <c r="AG166" s="18"/>
      <c r="AH166" s="18"/>
      <c r="AI166" s="18"/>
      <c r="AJ166" s="18"/>
      <c r="AK166" s="18"/>
      <c r="AL166" s="18"/>
      <c r="AM166" s="18"/>
      <c r="AN166" s="42"/>
      <c r="AO166" s="40"/>
      <c r="AP166" s="3"/>
      <c r="AQ166" s="3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63"/>
      <c r="BE166" s="40"/>
      <c r="BF166" s="2"/>
      <c r="BG166" s="2"/>
      <c r="BI166" s="2"/>
      <c r="BJ166" s="2"/>
      <c r="BK166" s="2"/>
      <c r="BL166" s="40"/>
      <c r="BM166" s="40"/>
      <c r="BO166" s="37"/>
      <c r="BP166" s="37"/>
    </row>
    <row r="167" spans="2:68" x14ac:dyDescent="0.35">
      <c r="B167" s="32"/>
      <c r="C167" s="32"/>
      <c r="E167" s="32"/>
      <c r="F167" s="32"/>
      <c r="G167" s="32"/>
      <c r="H167" s="32"/>
      <c r="I167" s="34"/>
      <c r="K167" s="32"/>
      <c r="L167" s="32"/>
      <c r="M167" s="32"/>
      <c r="N167" s="37"/>
      <c r="O167" s="37"/>
      <c r="P167" s="37"/>
      <c r="Q167" s="37"/>
      <c r="W167" s="18"/>
      <c r="X167" s="39"/>
      <c r="Y167" s="39"/>
      <c r="Z167" s="38"/>
      <c r="AA167" s="38"/>
      <c r="AB167" s="39"/>
      <c r="AC167" s="39"/>
      <c r="AD167" s="40"/>
      <c r="AE167" s="18"/>
      <c r="AF167" s="18"/>
      <c r="AG167" s="18"/>
      <c r="AH167" s="18"/>
      <c r="AI167" s="18"/>
      <c r="AJ167" s="18"/>
      <c r="AK167" s="18"/>
      <c r="AL167" s="18"/>
      <c r="AM167" s="18"/>
      <c r="AN167" s="42"/>
      <c r="AO167" s="40"/>
      <c r="AP167" s="3"/>
      <c r="AQ167" s="3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63"/>
      <c r="BE167" s="40"/>
      <c r="BF167" s="2"/>
      <c r="BG167" s="2"/>
      <c r="BI167" s="2"/>
      <c r="BJ167" s="2"/>
      <c r="BK167" s="2"/>
      <c r="BL167" s="40"/>
      <c r="BM167" s="40"/>
      <c r="BO167" s="37"/>
      <c r="BP167" s="37"/>
    </row>
    <row r="168" spans="2:68" x14ac:dyDescent="0.4">
      <c r="B168" s="32"/>
      <c r="C168" s="32"/>
      <c r="D168" s="55"/>
      <c r="E168" s="32"/>
      <c r="F168" s="32"/>
      <c r="G168" s="32"/>
      <c r="H168" s="32"/>
      <c r="I168" s="34"/>
      <c r="L168" s="32"/>
      <c r="M168" s="32"/>
      <c r="N168" s="37"/>
      <c r="O168" s="37"/>
      <c r="P168" s="37"/>
      <c r="Q168" s="37"/>
      <c r="W168" s="18"/>
      <c r="X168" s="39"/>
      <c r="Y168" s="39"/>
      <c r="Z168" s="38"/>
      <c r="AA168" s="38"/>
      <c r="AB168" s="39"/>
      <c r="AC168" s="39"/>
      <c r="AD168" s="40"/>
      <c r="AE168" s="18"/>
      <c r="AF168" s="18"/>
      <c r="AG168" s="18"/>
      <c r="AH168" s="18"/>
      <c r="AI168" s="18"/>
      <c r="AJ168" s="18"/>
      <c r="AK168" s="18"/>
      <c r="AL168" s="18"/>
      <c r="AM168" s="18"/>
      <c r="AN168" s="42"/>
      <c r="AO168" s="40"/>
      <c r="AP168" s="65"/>
      <c r="AQ168" s="3"/>
      <c r="AR168" s="64"/>
      <c r="AS168" s="64"/>
      <c r="AT168" s="40"/>
      <c r="AU168" s="40"/>
      <c r="AV168" s="21"/>
      <c r="AW168" s="20"/>
      <c r="AX168" s="40"/>
      <c r="AY168" s="40"/>
      <c r="AZ168" s="40"/>
      <c r="BA168" s="40"/>
      <c r="BB168" s="40"/>
      <c r="BC168" s="40"/>
      <c r="BD168" s="62"/>
      <c r="BE168" s="40"/>
      <c r="BF168" s="2"/>
      <c r="BG168" s="2"/>
      <c r="BI168" s="2"/>
      <c r="BJ168" s="2"/>
      <c r="BK168" s="2"/>
      <c r="BL168" s="40"/>
      <c r="BM168" s="40"/>
      <c r="BO168" s="37"/>
      <c r="BP168" s="37"/>
    </row>
    <row r="169" spans="2:68" x14ac:dyDescent="0.4">
      <c r="B169" s="32"/>
      <c r="C169" s="32"/>
      <c r="D169" s="66"/>
      <c r="E169" s="32"/>
      <c r="F169" s="32"/>
      <c r="G169" s="32"/>
      <c r="H169" s="32"/>
      <c r="I169" s="34"/>
      <c r="L169" s="32"/>
      <c r="M169" s="32"/>
      <c r="N169" s="37"/>
      <c r="O169" s="37"/>
      <c r="P169" s="37"/>
      <c r="Q169" s="37"/>
      <c r="W169" s="18"/>
      <c r="X169" s="39"/>
      <c r="Y169" s="39"/>
      <c r="Z169" s="38"/>
      <c r="AA169" s="38"/>
      <c r="AB169" s="39"/>
      <c r="AC169" s="39"/>
      <c r="AD169" s="40"/>
      <c r="AE169" s="18"/>
      <c r="AF169" s="18"/>
      <c r="AG169" s="18"/>
      <c r="AH169" s="18"/>
      <c r="AI169" s="18"/>
      <c r="AJ169" s="18"/>
      <c r="AK169" s="18"/>
      <c r="AL169" s="18"/>
      <c r="AM169" s="18"/>
      <c r="AN169" s="42"/>
      <c r="AO169" s="40"/>
      <c r="AP169" s="21"/>
      <c r="AQ169" s="20"/>
      <c r="AR169" s="64"/>
      <c r="AS169" s="64"/>
      <c r="AT169" s="40"/>
      <c r="AU169" s="40"/>
      <c r="AV169" s="21"/>
      <c r="AW169" s="20"/>
      <c r="AX169" s="40"/>
      <c r="AY169" s="40"/>
      <c r="AZ169" s="40"/>
      <c r="BA169" s="40"/>
      <c r="BB169" s="40"/>
      <c r="BC169" s="40"/>
      <c r="BD169" s="62"/>
      <c r="BE169" s="40"/>
      <c r="BF169" s="2"/>
      <c r="BG169" s="2"/>
      <c r="BI169" s="2"/>
      <c r="BJ169" s="2"/>
      <c r="BK169" s="2"/>
      <c r="BL169" s="40"/>
      <c r="BM169" s="40"/>
      <c r="BO169" s="37"/>
      <c r="BP169" s="37"/>
    </row>
    <row r="170" spans="2:68" x14ac:dyDescent="0.35">
      <c r="B170" s="32"/>
      <c r="C170" s="32"/>
      <c r="E170" s="32"/>
      <c r="F170" s="32"/>
      <c r="G170" s="32"/>
      <c r="H170" s="32"/>
      <c r="I170" s="34"/>
      <c r="L170" s="32"/>
      <c r="M170" s="32"/>
      <c r="N170" s="37"/>
      <c r="O170" s="37"/>
      <c r="P170" s="37"/>
      <c r="Q170" s="37"/>
      <c r="W170" s="18"/>
      <c r="X170" s="39"/>
      <c r="Y170" s="39"/>
      <c r="Z170" s="38"/>
      <c r="AA170" s="38"/>
      <c r="AB170" s="39"/>
      <c r="AC170" s="39"/>
      <c r="AD170" s="40"/>
      <c r="AE170" s="18"/>
      <c r="AF170" s="18"/>
      <c r="AG170" s="18"/>
      <c r="AH170" s="18"/>
      <c r="AI170" s="18"/>
      <c r="AJ170" s="18"/>
      <c r="AK170" s="18"/>
      <c r="AL170" s="18"/>
      <c r="AM170" s="18"/>
      <c r="AN170" s="42"/>
      <c r="AO170" s="40"/>
      <c r="AP170" s="65"/>
      <c r="AQ170" s="3"/>
      <c r="AR170" s="64"/>
      <c r="AS170" s="64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62"/>
      <c r="BE170" s="40"/>
      <c r="BF170" s="2"/>
      <c r="BG170" s="2"/>
      <c r="BI170" s="2"/>
      <c r="BJ170" s="2"/>
      <c r="BK170" s="2"/>
      <c r="BL170" s="40"/>
      <c r="BM170" s="40"/>
      <c r="BO170" s="37"/>
      <c r="BP170" s="37"/>
    </row>
    <row r="171" spans="2:68" x14ac:dyDescent="0.35">
      <c r="B171" s="32"/>
      <c r="C171" s="32"/>
      <c r="E171" s="32"/>
      <c r="F171" s="32"/>
      <c r="G171" s="32"/>
      <c r="H171" s="32"/>
      <c r="I171" s="34"/>
      <c r="L171" s="32"/>
      <c r="M171" s="32"/>
      <c r="N171" s="37"/>
      <c r="O171" s="37"/>
      <c r="P171" s="37"/>
      <c r="Q171" s="37"/>
      <c r="W171" s="18"/>
      <c r="X171" s="39"/>
      <c r="Y171" s="39"/>
      <c r="Z171" s="38"/>
      <c r="AA171" s="38"/>
      <c r="AB171" s="39"/>
      <c r="AC171" s="39"/>
      <c r="AD171" s="40"/>
      <c r="AE171" s="18"/>
      <c r="AF171" s="18"/>
      <c r="AG171" s="18"/>
      <c r="AH171" s="18"/>
      <c r="AI171" s="18"/>
      <c r="AJ171" s="18"/>
      <c r="AK171" s="18"/>
      <c r="AL171" s="18"/>
      <c r="AM171" s="18"/>
      <c r="AN171" s="42"/>
      <c r="AO171" s="40"/>
      <c r="AP171" s="65"/>
      <c r="AQ171" s="3"/>
      <c r="AR171" s="64"/>
      <c r="AS171" s="64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62"/>
      <c r="BE171" s="40"/>
      <c r="BF171" s="2"/>
      <c r="BG171" s="2"/>
      <c r="BI171" s="2"/>
      <c r="BJ171" s="2"/>
      <c r="BK171" s="2"/>
      <c r="BL171" s="40"/>
      <c r="BM171" s="40"/>
      <c r="BO171" s="37"/>
      <c r="BP171" s="37"/>
    </row>
    <row r="172" spans="2:68" x14ac:dyDescent="0.35">
      <c r="B172" s="32"/>
      <c r="C172" s="32"/>
      <c r="E172" s="32"/>
      <c r="F172" s="32"/>
      <c r="G172" s="32"/>
      <c r="H172" s="32"/>
      <c r="I172" s="34"/>
      <c r="K172" s="32"/>
      <c r="L172" s="32"/>
      <c r="M172" s="32"/>
      <c r="N172" s="37"/>
      <c r="O172" s="37"/>
      <c r="P172" s="37"/>
      <c r="Q172" s="37"/>
      <c r="W172" s="18"/>
      <c r="X172" s="39"/>
      <c r="Y172" s="39"/>
      <c r="Z172" s="38"/>
      <c r="AA172" s="38"/>
      <c r="AB172" s="39"/>
      <c r="AC172" s="39"/>
      <c r="AD172" s="40"/>
      <c r="AE172" s="18"/>
      <c r="AF172" s="18"/>
      <c r="AG172" s="18"/>
      <c r="AH172" s="18"/>
      <c r="AI172" s="18"/>
      <c r="AJ172" s="18"/>
      <c r="AK172" s="18"/>
      <c r="AL172" s="18"/>
      <c r="AM172" s="18"/>
      <c r="AN172" s="42"/>
      <c r="AO172" s="40"/>
      <c r="AP172" s="65"/>
      <c r="AQ172" s="3"/>
      <c r="AR172" s="64"/>
      <c r="AS172" s="64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62"/>
      <c r="BE172" s="40"/>
      <c r="BF172" s="2"/>
      <c r="BG172" s="2"/>
      <c r="BI172" s="2"/>
      <c r="BJ172" s="2"/>
      <c r="BK172" s="2"/>
      <c r="BL172" s="40"/>
      <c r="BM172" s="40"/>
      <c r="BO172" s="37"/>
      <c r="BP172" s="37"/>
    </row>
    <row r="173" spans="2:68" x14ac:dyDescent="0.35">
      <c r="B173" s="32"/>
      <c r="C173" s="32"/>
      <c r="E173" s="32"/>
      <c r="F173" s="32"/>
      <c r="G173" s="32"/>
      <c r="H173" s="32"/>
      <c r="I173" s="34"/>
      <c r="L173" s="32"/>
      <c r="M173" s="32"/>
      <c r="N173" s="37"/>
      <c r="O173" s="37"/>
      <c r="P173" s="37"/>
      <c r="Q173" s="37"/>
      <c r="W173" s="18"/>
      <c r="X173" s="39"/>
      <c r="Y173" s="39"/>
      <c r="Z173" s="38"/>
      <c r="AA173" s="38"/>
      <c r="AB173" s="39"/>
      <c r="AC173" s="39"/>
      <c r="AD173" s="40"/>
      <c r="AE173" s="18"/>
      <c r="AF173" s="18"/>
      <c r="AG173" s="18"/>
      <c r="AH173" s="18"/>
      <c r="AI173" s="18"/>
      <c r="AJ173" s="18"/>
      <c r="AK173" s="18"/>
      <c r="AL173" s="18"/>
      <c r="AM173" s="18"/>
      <c r="AN173" s="42"/>
      <c r="AO173" s="40"/>
      <c r="AP173" s="65"/>
      <c r="AQ173" s="3"/>
      <c r="AR173" s="64"/>
      <c r="AS173" s="64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63"/>
      <c r="BE173" s="40"/>
      <c r="BF173" s="2"/>
      <c r="BG173" s="2"/>
      <c r="BI173" s="2"/>
      <c r="BJ173" s="2"/>
      <c r="BK173" s="2"/>
      <c r="BL173" s="40"/>
      <c r="BM173" s="40"/>
      <c r="BO173" s="37"/>
      <c r="BP173" s="37"/>
    </row>
    <row r="174" spans="2:68" x14ac:dyDescent="0.35">
      <c r="B174" s="32"/>
      <c r="C174" s="32"/>
      <c r="E174" s="32"/>
      <c r="F174" s="32"/>
      <c r="G174" s="32"/>
      <c r="H174" s="32"/>
      <c r="I174" s="34"/>
      <c r="L174" s="32"/>
      <c r="M174" s="32"/>
      <c r="N174" s="37"/>
      <c r="O174" s="37"/>
      <c r="P174" s="37"/>
      <c r="Q174" s="37"/>
      <c r="W174" s="18"/>
      <c r="X174" s="39"/>
      <c r="Y174" s="39"/>
      <c r="Z174" s="38"/>
      <c r="AA174" s="38"/>
      <c r="AB174" s="39"/>
      <c r="AC174" s="39"/>
      <c r="AD174" s="40"/>
      <c r="AE174" s="18"/>
      <c r="AF174" s="18"/>
      <c r="AG174" s="18"/>
      <c r="AH174" s="18"/>
      <c r="AI174" s="18"/>
      <c r="AJ174" s="18"/>
      <c r="AK174" s="18"/>
      <c r="AL174" s="18"/>
      <c r="AM174" s="18"/>
      <c r="AN174" s="42"/>
      <c r="AO174" s="40"/>
      <c r="AP174" s="65"/>
      <c r="AQ174" s="3"/>
      <c r="AR174" s="64"/>
      <c r="AS174" s="64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63"/>
      <c r="BE174" s="40"/>
      <c r="BF174" s="2"/>
      <c r="BG174" s="2"/>
      <c r="BI174" s="2"/>
      <c r="BJ174" s="2"/>
      <c r="BK174" s="2"/>
      <c r="BL174" s="40"/>
      <c r="BM174" s="40"/>
      <c r="BO174" s="37"/>
      <c r="BP174" s="37"/>
    </row>
    <row r="175" spans="2:68" x14ac:dyDescent="0.35">
      <c r="B175" s="32"/>
      <c r="C175" s="32"/>
      <c r="E175" s="32"/>
      <c r="F175" s="32"/>
      <c r="G175" s="32"/>
      <c r="H175" s="32"/>
      <c r="I175" s="34"/>
      <c r="L175" s="32"/>
      <c r="M175" s="32"/>
      <c r="N175" s="37"/>
      <c r="O175" s="37"/>
      <c r="P175" s="37"/>
      <c r="Q175" s="37"/>
      <c r="W175" s="18"/>
      <c r="X175" s="39"/>
      <c r="Y175" s="39"/>
      <c r="Z175" s="38"/>
      <c r="AA175" s="38"/>
      <c r="AB175" s="39"/>
      <c r="AC175" s="39"/>
      <c r="AD175" s="40"/>
      <c r="AE175" s="18"/>
      <c r="AF175" s="18"/>
      <c r="AG175" s="18"/>
      <c r="AH175" s="18"/>
      <c r="AI175" s="18"/>
      <c r="AJ175" s="18"/>
      <c r="AK175" s="18"/>
      <c r="AL175" s="18"/>
      <c r="AM175" s="18"/>
      <c r="AN175" s="42"/>
      <c r="AO175" s="40"/>
      <c r="AP175" s="65"/>
      <c r="AQ175" s="3"/>
      <c r="AR175" s="64"/>
      <c r="AS175" s="64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62"/>
      <c r="BE175" s="40"/>
      <c r="BF175" s="2"/>
      <c r="BG175" s="2"/>
      <c r="BI175" s="2"/>
      <c r="BJ175" s="2"/>
      <c r="BK175" s="2"/>
      <c r="BL175" s="40"/>
      <c r="BM175" s="40"/>
      <c r="BO175" s="37"/>
      <c r="BP175" s="37"/>
    </row>
    <row r="176" spans="2:68" x14ac:dyDescent="0.35">
      <c r="B176" s="32"/>
      <c r="C176" s="32"/>
      <c r="E176" s="32"/>
      <c r="F176" s="32"/>
      <c r="G176" s="32"/>
      <c r="H176" s="32"/>
      <c r="I176" s="34"/>
      <c r="L176" s="32"/>
      <c r="M176" s="32"/>
      <c r="N176" s="37"/>
      <c r="O176" s="37"/>
      <c r="P176" s="37"/>
      <c r="Q176" s="37"/>
      <c r="W176" s="18"/>
      <c r="X176" s="39"/>
      <c r="Y176" s="39"/>
      <c r="Z176" s="38"/>
      <c r="AA176" s="38"/>
      <c r="AB176" s="39"/>
      <c r="AC176" s="39"/>
      <c r="AD176" s="40"/>
      <c r="AE176" s="18"/>
      <c r="AF176" s="18"/>
      <c r="AG176" s="18"/>
      <c r="AH176" s="18"/>
      <c r="AI176" s="18"/>
      <c r="AJ176" s="18"/>
      <c r="AK176" s="18"/>
      <c r="AL176" s="18"/>
      <c r="AM176" s="18"/>
      <c r="AN176" s="42"/>
      <c r="AO176" s="40"/>
      <c r="AP176" s="65"/>
      <c r="AQ176" s="3"/>
      <c r="AR176" s="64"/>
      <c r="AS176" s="64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62"/>
      <c r="BE176" s="40"/>
      <c r="BF176" s="2"/>
      <c r="BG176" s="2"/>
      <c r="BI176" s="2"/>
      <c r="BJ176" s="2"/>
      <c r="BK176" s="2"/>
      <c r="BL176" s="40"/>
      <c r="BM176" s="40"/>
      <c r="BO176" s="37"/>
      <c r="BP176" s="37"/>
    </row>
    <row r="177" spans="2:68" x14ac:dyDescent="0.35">
      <c r="B177" s="32"/>
      <c r="C177" s="32"/>
      <c r="E177" s="32"/>
      <c r="F177" s="32"/>
      <c r="G177" s="32"/>
      <c r="H177" s="32"/>
      <c r="I177" s="34"/>
      <c r="K177" s="32"/>
      <c r="L177" s="32"/>
      <c r="M177" s="32"/>
      <c r="N177" s="37"/>
      <c r="O177" s="37"/>
      <c r="P177" s="37"/>
      <c r="Q177" s="37"/>
      <c r="W177" s="18"/>
      <c r="X177" s="39"/>
      <c r="Y177" s="39"/>
      <c r="Z177" s="38"/>
      <c r="AA177" s="38"/>
      <c r="AB177" s="39"/>
      <c r="AC177" s="39"/>
      <c r="AD177" s="40"/>
      <c r="AE177" s="18"/>
      <c r="AF177" s="18"/>
      <c r="AG177" s="18"/>
      <c r="AH177" s="18"/>
      <c r="AI177" s="18"/>
      <c r="AJ177" s="18"/>
      <c r="AK177" s="18"/>
      <c r="AL177" s="18"/>
      <c r="AM177" s="18"/>
      <c r="AN177" s="42"/>
      <c r="AO177" s="40"/>
      <c r="AP177" s="65"/>
      <c r="AQ177" s="3"/>
      <c r="AR177" s="64"/>
      <c r="AS177" s="64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63"/>
      <c r="BE177" s="40"/>
      <c r="BF177" s="2"/>
      <c r="BG177" s="2"/>
      <c r="BI177" s="2"/>
      <c r="BJ177" s="2"/>
      <c r="BK177" s="2"/>
      <c r="BL177" s="40"/>
      <c r="BM177" s="40"/>
      <c r="BO177" s="37"/>
      <c r="BP177" s="37"/>
    </row>
    <row r="178" spans="2:68" x14ac:dyDescent="0.35">
      <c r="B178" s="32"/>
      <c r="C178" s="32"/>
      <c r="E178" s="32"/>
      <c r="F178" s="32"/>
      <c r="G178" s="37"/>
      <c r="H178" s="37"/>
      <c r="I178"/>
      <c r="K178" s="12"/>
      <c r="L178" s="37"/>
      <c r="M178" s="37"/>
      <c r="N178" s="37"/>
      <c r="O178" s="37"/>
      <c r="P178" s="37"/>
      <c r="Q178" s="37"/>
      <c r="W178" s="18"/>
      <c r="X178" s="39"/>
      <c r="Y178" s="39"/>
      <c r="Z178" s="38"/>
      <c r="AA178" s="38"/>
      <c r="AB178" s="39"/>
      <c r="AC178" s="39"/>
      <c r="AD178" s="40"/>
      <c r="AE178" s="18"/>
      <c r="AF178" s="18"/>
      <c r="AG178" s="18"/>
      <c r="AH178" s="18"/>
      <c r="AI178" s="18"/>
      <c r="AJ178" s="18"/>
      <c r="AK178" s="18"/>
      <c r="AL178" s="18"/>
      <c r="AM178" s="18"/>
      <c r="AN178" s="42"/>
      <c r="AO178" s="40"/>
      <c r="AP178" s="48"/>
      <c r="AQ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63"/>
      <c r="BE178" s="40"/>
      <c r="BF178" s="2"/>
      <c r="BG178" s="2"/>
      <c r="BI178" s="2"/>
      <c r="BJ178" s="2"/>
      <c r="BK178" s="2"/>
      <c r="BL178" s="40"/>
      <c r="BM178" s="40"/>
      <c r="BO178" s="37"/>
      <c r="BP178" s="37"/>
    </row>
    <row r="179" spans="2:68" x14ac:dyDescent="0.35">
      <c r="B179" s="32"/>
      <c r="C179" s="32"/>
      <c r="E179" s="32"/>
      <c r="F179" s="32"/>
      <c r="G179" s="37"/>
      <c r="H179" s="37"/>
      <c r="I179"/>
      <c r="K179" s="12"/>
      <c r="L179" s="37"/>
      <c r="M179" s="37"/>
      <c r="N179" s="37"/>
      <c r="O179" s="37"/>
      <c r="P179" s="37"/>
      <c r="Q179" s="37"/>
      <c r="W179" s="18"/>
      <c r="X179" s="39"/>
      <c r="Y179" s="39"/>
      <c r="Z179" s="38"/>
      <c r="AA179" s="38"/>
      <c r="AB179" s="39"/>
      <c r="AC179" s="39"/>
      <c r="AD179" s="40"/>
      <c r="AE179" s="18"/>
      <c r="AF179" s="18"/>
      <c r="AG179" s="18"/>
      <c r="AH179" s="18"/>
      <c r="AI179" s="18"/>
      <c r="AJ179" s="18"/>
      <c r="AK179" s="18"/>
      <c r="AL179" s="18"/>
      <c r="AM179" s="18"/>
      <c r="AN179" s="42"/>
      <c r="AO179" s="40"/>
      <c r="AP179" s="48"/>
      <c r="AQ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63"/>
      <c r="BE179" s="40"/>
      <c r="BF179" s="2"/>
      <c r="BG179" s="2"/>
      <c r="BI179" s="2"/>
      <c r="BJ179" s="2"/>
      <c r="BK179" s="2"/>
      <c r="BL179" s="40"/>
      <c r="BM179" s="40"/>
      <c r="BO179" s="37"/>
      <c r="BP179" s="37"/>
    </row>
    <row r="180" spans="2:68" x14ac:dyDescent="0.35">
      <c r="B180" s="32"/>
      <c r="C180" s="32"/>
      <c r="E180" s="32"/>
      <c r="F180" s="32"/>
      <c r="G180" s="37"/>
      <c r="H180" s="37"/>
      <c r="I180"/>
      <c r="K180" s="12"/>
      <c r="L180" s="37"/>
      <c r="M180" s="37"/>
      <c r="N180" s="37"/>
      <c r="O180" s="37"/>
      <c r="P180" s="37"/>
      <c r="Q180" s="37"/>
      <c r="W180" s="18"/>
      <c r="X180" s="39"/>
      <c r="Y180" s="39"/>
      <c r="Z180" s="38"/>
      <c r="AA180" s="38"/>
      <c r="AB180" s="39"/>
      <c r="AC180" s="39"/>
      <c r="AD180" s="40"/>
      <c r="AE180" s="18"/>
      <c r="AF180" s="18"/>
      <c r="AG180" s="18"/>
      <c r="AH180" s="18"/>
      <c r="AI180" s="18"/>
      <c r="AJ180" s="18"/>
      <c r="AK180" s="18"/>
      <c r="AL180" s="18"/>
      <c r="AM180" s="18"/>
      <c r="AN180" s="42"/>
      <c r="AO180" s="40"/>
      <c r="AP180" s="48"/>
      <c r="AQ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62"/>
      <c r="BE180" s="40"/>
      <c r="BF180" s="2"/>
      <c r="BG180" s="2"/>
      <c r="BI180" s="2"/>
      <c r="BJ180" s="2"/>
      <c r="BK180" s="2"/>
      <c r="BL180" s="40"/>
      <c r="BM180" s="40"/>
      <c r="BO180" s="37"/>
      <c r="BP180" s="37"/>
    </row>
    <row r="181" spans="2:68" ht="16.5" customHeight="1" x14ac:dyDescent="0.35">
      <c r="B181" s="32"/>
      <c r="C181" s="32"/>
      <c r="E181" s="32"/>
      <c r="F181" s="32"/>
      <c r="G181" s="32"/>
      <c r="H181" s="32"/>
      <c r="I181" s="34"/>
      <c r="K181" s="12"/>
      <c r="L181" s="32"/>
      <c r="M181" s="32"/>
      <c r="N181" s="37"/>
      <c r="O181" s="37"/>
      <c r="P181" s="37"/>
      <c r="Q181" s="37"/>
      <c r="W181" s="18"/>
      <c r="X181" s="39"/>
      <c r="Y181" s="39"/>
      <c r="Z181" s="38"/>
      <c r="AA181" s="38"/>
      <c r="AB181" s="39"/>
      <c r="AC181" s="39"/>
      <c r="AD181" s="40"/>
      <c r="AE181" s="18"/>
      <c r="AF181" s="18"/>
      <c r="AG181" s="18"/>
      <c r="AH181" s="18"/>
      <c r="AI181" s="18"/>
      <c r="AJ181" s="18"/>
      <c r="AK181" s="18"/>
      <c r="AL181" s="18"/>
      <c r="AM181" s="18"/>
      <c r="AN181" s="42"/>
      <c r="AO181" s="40"/>
      <c r="AP181" s="48"/>
      <c r="AQ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62"/>
      <c r="BE181" s="40"/>
      <c r="BF181" s="2"/>
      <c r="BG181" s="2"/>
      <c r="BI181" s="2"/>
      <c r="BJ181" s="2"/>
      <c r="BK181" s="2"/>
      <c r="BL181" s="40"/>
      <c r="BM181" s="40"/>
      <c r="BO181" s="37"/>
      <c r="BP181" s="37"/>
    </row>
    <row r="182" spans="2:68" ht="16.5" customHeight="1" x14ac:dyDescent="0.35">
      <c r="B182" s="32"/>
      <c r="C182" s="32"/>
      <c r="E182" s="32"/>
      <c r="F182" s="32"/>
      <c r="G182" s="32"/>
      <c r="H182" s="32"/>
      <c r="I182" s="34"/>
      <c r="K182" s="12"/>
      <c r="L182" s="32"/>
      <c r="M182" s="32"/>
      <c r="N182" s="37"/>
      <c r="O182" s="37"/>
      <c r="P182" s="37"/>
      <c r="Q182" s="37"/>
      <c r="W182" s="18"/>
      <c r="X182" s="39"/>
      <c r="Y182" s="39"/>
      <c r="Z182" s="38"/>
      <c r="AA182" s="38"/>
      <c r="AB182" s="39"/>
      <c r="AC182" s="39"/>
      <c r="AD182" s="40"/>
      <c r="AE182" s="18"/>
      <c r="AF182" s="18"/>
      <c r="AG182" s="18"/>
      <c r="AH182" s="18"/>
      <c r="AI182" s="18"/>
      <c r="AJ182" s="18"/>
      <c r="AK182" s="18"/>
      <c r="AL182" s="18"/>
      <c r="AM182" s="18"/>
      <c r="AN182" s="42"/>
      <c r="AO182" s="40"/>
      <c r="AP182" s="48"/>
      <c r="AQ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62"/>
      <c r="BE182" s="40"/>
      <c r="BF182" s="2"/>
      <c r="BG182" s="2"/>
      <c r="BI182" s="2"/>
      <c r="BJ182" s="2"/>
      <c r="BK182" s="2"/>
      <c r="BL182" s="40"/>
      <c r="BM182" s="40"/>
      <c r="BO182" s="37"/>
      <c r="BP182" s="37"/>
    </row>
    <row r="183" spans="2:68" x14ac:dyDescent="0.35">
      <c r="B183" s="32"/>
      <c r="C183" s="32"/>
      <c r="E183" s="32"/>
      <c r="F183" s="32"/>
      <c r="G183" s="32"/>
      <c r="H183" s="32"/>
      <c r="I183" s="34"/>
      <c r="K183" s="12"/>
      <c r="M183" s="32"/>
      <c r="N183" s="37"/>
      <c r="O183" s="37"/>
      <c r="P183" s="37"/>
      <c r="Q183" s="37"/>
      <c r="W183" s="18"/>
      <c r="X183" s="39"/>
      <c r="Y183" s="39"/>
      <c r="Z183" s="38"/>
      <c r="AA183" s="38"/>
      <c r="AB183" s="39"/>
      <c r="AC183" s="39"/>
      <c r="AD183" s="40"/>
      <c r="AE183" s="18"/>
      <c r="AF183" s="18"/>
      <c r="AG183" s="18"/>
      <c r="AH183" s="18"/>
      <c r="AI183" s="18"/>
      <c r="AJ183" s="18"/>
      <c r="AK183" s="18"/>
      <c r="AL183" s="18"/>
      <c r="AM183" s="18"/>
      <c r="AN183" s="42"/>
      <c r="AO183" s="40"/>
      <c r="AP183" s="48"/>
      <c r="AQ183" s="40"/>
      <c r="AR183" s="64"/>
      <c r="AS183" s="64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63"/>
      <c r="BE183" s="40"/>
      <c r="BF183" s="2"/>
      <c r="BG183" s="2"/>
      <c r="BI183" s="2"/>
      <c r="BJ183" s="2"/>
      <c r="BK183" s="2"/>
      <c r="BL183" s="40"/>
      <c r="BM183" s="40"/>
      <c r="BO183" s="37"/>
      <c r="BP183" s="37"/>
    </row>
    <row r="184" spans="2:68" x14ac:dyDescent="0.35">
      <c r="B184" s="32"/>
      <c r="C184" s="32"/>
      <c r="E184" s="32"/>
      <c r="F184" s="32"/>
      <c r="G184" s="32"/>
      <c r="H184" s="32"/>
      <c r="I184" s="34"/>
      <c r="K184" s="12"/>
      <c r="L184" s="32"/>
      <c r="M184" s="32"/>
      <c r="N184" s="37"/>
      <c r="O184" s="37"/>
      <c r="P184" s="37"/>
      <c r="Q184" s="37"/>
      <c r="W184" s="18"/>
      <c r="X184" s="39"/>
      <c r="Y184" s="39"/>
      <c r="Z184" s="38"/>
      <c r="AA184" s="38"/>
      <c r="AB184" s="39"/>
      <c r="AC184" s="39"/>
      <c r="AD184" s="40"/>
      <c r="AE184" s="18"/>
      <c r="AF184" s="18"/>
      <c r="AG184" s="18"/>
      <c r="AH184" s="18"/>
      <c r="AI184" s="18"/>
      <c r="AJ184" s="18"/>
      <c r="AK184" s="18"/>
      <c r="AL184" s="18"/>
      <c r="AM184" s="18"/>
      <c r="AN184" s="42"/>
      <c r="AO184" s="40"/>
      <c r="AP184" s="48"/>
      <c r="AQ184" s="40"/>
      <c r="AR184" s="64"/>
      <c r="AS184" s="64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62"/>
      <c r="BE184" s="40"/>
      <c r="BF184" s="2"/>
      <c r="BG184" s="2"/>
      <c r="BI184" s="2"/>
      <c r="BJ184" s="2"/>
      <c r="BK184" s="2"/>
      <c r="BL184" s="40"/>
      <c r="BM184" s="40"/>
      <c r="BO184" s="37"/>
      <c r="BP184" s="37"/>
    </row>
    <row r="185" spans="2:68" x14ac:dyDescent="0.35">
      <c r="B185" s="32"/>
      <c r="C185" s="32"/>
      <c r="E185" s="32"/>
      <c r="F185" s="32"/>
      <c r="G185" s="32"/>
      <c r="H185" s="32"/>
      <c r="I185" s="34"/>
      <c r="K185" s="12"/>
      <c r="M185" s="32"/>
      <c r="N185" s="37"/>
      <c r="O185" s="37"/>
      <c r="P185" s="37"/>
      <c r="Q185" s="37"/>
      <c r="W185" s="18"/>
      <c r="X185" s="39"/>
      <c r="Y185" s="39"/>
      <c r="Z185" s="38"/>
      <c r="AA185" s="38"/>
      <c r="AB185" s="39"/>
      <c r="AC185" s="39"/>
      <c r="AD185" s="40"/>
      <c r="AE185" s="18"/>
      <c r="AF185" s="18"/>
      <c r="AG185" s="18"/>
      <c r="AH185" s="18"/>
      <c r="AI185" s="18"/>
      <c r="AJ185" s="18"/>
      <c r="AK185" s="18"/>
      <c r="AL185" s="18"/>
      <c r="AM185" s="18"/>
      <c r="AN185" s="42"/>
      <c r="AO185" s="40"/>
      <c r="AP185" s="48"/>
      <c r="AQ185" s="40"/>
      <c r="AR185" s="64"/>
      <c r="AS185" s="64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62"/>
      <c r="BE185" s="40"/>
      <c r="BF185" s="2"/>
      <c r="BG185" s="2"/>
      <c r="BI185" s="2"/>
      <c r="BJ185" s="2"/>
      <c r="BK185" s="2"/>
      <c r="BL185" s="40"/>
      <c r="BM185" s="40"/>
      <c r="BO185" s="37"/>
      <c r="BP185" s="37"/>
    </row>
    <row r="186" spans="2:68" x14ac:dyDescent="0.35">
      <c r="B186" s="32"/>
      <c r="C186" s="32"/>
      <c r="E186" s="32"/>
      <c r="F186" s="32"/>
      <c r="G186" s="32"/>
      <c r="H186" s="32"/>
      <c r="I186" s="34"/>
      <c r="K186" s="32"/>
      <c r="L186" s="32"/>
      <c r="M186" s="32"/>
      <c r="N186" s="37"/>
      <c r="O186" s="37"/>
      <c r="P186" s="37"/>
      <c r="Q186" s="37"/>
      <c r="W186" s="18"/>
      <c r="X186" s="39"/>
      <c r="Y186" s="39"/>
      <c r="Z186" s="38"/>
      <c r="AA186" s="38"/>
      <c r="AB186" s="39"/>
      <c r="AC186" s="39"/>
      <c r="AD186" s="40"/>
      <c r="AE186" s="18"/>
      <c r="AF186" s="18"/>
      <c r="AG186" s="18"/>
      <c r="AH186" s="18"/>
      <c r="AI186" s="18"/>
      <c r="AJ186" s="18"/>
      <c r="AK186" s="18"/>
      <c r="AL186" s="18"/>
      <c r="AM186" s="18"/>
      <c r="AN186" s="42"/>
      <c r="AO186" s="40"/>
      <c r="AP186" s="48"/>
      <c r="AQ186" s="40"/>
      <c r="AR186" s="64"/>
      <c r="AS186" s="64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62"/>
      <c r="BE186" s="40"/>
      <c r="BF186" s="2"/>
      <c r="BG186" s="2"/>
      <c r="BI186" s="2"/>
      <c r="BJ186" s="2"/>
      <c r="BK186" s="2"/>
      <c r="BL186" s="40"/>
      <c r="BM186" s="40"/>
      <c r="BO186" s="37"/>
      <c r="BP186" s="37"/>
    </row>
    <row r="187" spans="2:68" x14ac:dyDescent="0.35">
      <c r="B187" s="32"/>
      <c r="C187" s="32"/>
      <c r="E187" s="32"/>
      <c r="F187" s="32"/>
      <c r="G187" s="32"/>
      <c r="H187" s="32"/>
      <c r="I187" s="34"/>
      <c r="K187" s="32"/>
      <c r="L187" s="32"/>
      <c r="M187" s="32"/>
      <c r="N187" s="37"/>
      <c r="O187" s="37"/>
      <c r="P187" s="37"/>
      <c r="Q187" s="37"/>
      <c r="W187" s="18"/>
      <c r="X187" s="39"/>
      <c r="Y187" s="39"/>
      <c r="Z187" s="38"/>
      <c r="AA187" s="38"/>
      <c r="AB187" s="39"/>
      <c r="AC187" s="39"/>
      <c r="AD187" s="40"/>
      <c r="AE187" s="18"/>
      <c r="AF187" s="18"/>
      <c r="AG187" s="18"/>
      <c r="AH187" s="18"/>
      <c r="AI187" s="18"/>
      <c r="AJ187" s="18"/>
      <c r="AK187" s="18"/>
      <c r="AL187" s="18"/>
      <c r="AM187" s="18"/>
      <c r="AN187" s="42"/>
      <c r="AO187" s="40"/>
      <c r="AP187" s="48"/>
      <c r="AQ187" s="40"/>
      <c r="AR187" s="64"/>
      <c r="AS187" s="64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62"/>
      <c r="BE187" s="40"/>
      <c r="BF187" s="2"/>
      <c r="BG187" s="2"/>
      <c r="BI187" s="2"/>
      <c r="BJ187" s="2"/>
      <c r="BK187" s="2"/>
      <c r="BL187" s="40"/>
      <c r="BM187" s="40"/>
      <c r="BO187" s="37"/>
      <c r="BP187" s="37"/>
    </row>
    <row r="188" spans="2:68" x14ac:dyDescent="0.35">
      <c r="B188" s="32"/>
      <c r="C188" s="32"/>
      <c r="E188" s="32"/>
      <c r="F188" s="32"/>
      <c r="G188" s="32"/>
      <c r="H188" s="32"/>
      <c r="I188" s="34"/>
      <c r="K188" s="12"/>
      <c r="L188" s="32"/>
      <c r="M188" s="32"/>
      <c r="N188" s="37"/>
      <c r="O188" s="37"/>
      <c r="P188" s="37"/>
      <c r="Q188" s="37"/>
      <c r="W188" s="18"/>
      <c r="X188" s="39"/>
      <c r="Y188" s="39"/>
      <c r="Z188" s="38"/>
      <c r="AA188" s="38"/>
      <c r="AB188" s="39"/>
      <c r="AC188" s="39"/>
      <c r="AD188" s="40"/>
      <c r="AE188" s="18"/>
      <c r="AF188" s="18"/>
      <c r="AG188" s="18"/>
      <c r="AH188" s="18"/>
      <c r="AI188" s="18"/>
      <c r="AJ188" s="18"/>
      <c r="AK188" s="18"/>
      <c r="AL188" s="18"/>
      <c r="AM188" s="18"/>
      <c r="AN188" s="42"/>
      <c r="AO188" s="40"/>
      <c r="AP188" s="48"/>
      <c r="AQ188" s="40"/>
      <c r="AR188" s="64"/>
      <c r="AS188" s="64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63"/>
      <c r="BE188" s="40"/>
      <c r="BF188" s="2"/>
      <c r="BG188" s="2"/>
      <c r="BI188" s="2"/>
      <c r="BJ188" s="2"/>
      <c r="BK188" s="2"/>
      <c r="BL188" s="40"/>
      <c r="BM188" s="40"/>
      <c r="BO188" s="37"/>
      <c r="BP188" s="37"/>
    </row>
    <row r="189" spans="2:68" x14ac:dyDescent="0.35">
      <c r="B189" s="32"/>
      <c r="C189" s="32"/>
      <c r="E189" s="32"/>
      <c r="F189" s="32"/>
      <c r="G189" s="32"/>
      <c r="H189" s="32"/>
      <c r="I189" s="34"/>
      <c r="K189" s="12"/>
      <c r="L189" s="32"/>
      <c r="M189" s="32"/>
      <c r="N189" s="37"/>
      <c r="O189" s="37"/>
      <c r="P189" s="37"/>
      <c r="Q189" s="37"/>
      <c r="W189" s="18"/>
      <c r="X189" s="39"/>
      <c r="Y189" s="39"/>
      <c r="Z189" s="38"/>
      <c r="AA189" s="38"/>
      <c r="AB189" s="39"/>
      <c r="AC189" s="39"/>
      <c r="AD189" s="40"/>
      <c r="AE189" s="18"/>
      <c r="AF189" s="18"/>
      <c r="AG189" s="18"/>
      <c r="AH189" s="18"/>
      <c r="AI189" s="18"/>
      <c r="AJ189" s="18"/>
      <c r="AK189" s="18"/>
      <c r="AL189" s="18"/>
      <c r="AM189" s="18"/>
      <c r="AN189" s="42"/>
      <c r="AO189" s="40"/>
      <c r="AP189" s="48"/>
      <c r="AQ189" s="40"/>
      <c r="AR189" s="64"/>
      <c r="AS189" s="64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62"/>
      <c r="BE189" s="40"/>
      <c r="BF189" s="2"/>
      <c r="BG189" s="2"/>
      <c r="BI189" s="2"/>
      <c r="BJ189" s="2"/>
      <c r="BK189" s="2"/>
      <c r="BL189" s="40"/>
      <c r="BM189" s="40"/>
      <c r="BO189" s="37"/>
      <c r="BP189" s="37"/>
    </row>
    <row r="190" spans="2:68" x14ac:dyDescent="0.35">
      <c r="E190" s="32"/>
      <c r="F190" s="32"/>
      <c r="G190" s="32"/>
      <c r="H190" s="32"/>
      <c r="I190" s="34"/>
      <c r="K190" s="12"/>
      <c r="L190" s="32"/>
      <c r="M190" s="32"/>
      <c r="N190" s="37"/>
      <c r="O190" s="37"/>
      <c r="P190" s="37"/>
      <c r="Q190" s="37"/>
      <c r="W190" s="18"/>
      <c r="X190" s="39"/>
      <c r="Y190" s="39"/>
      <c r="Z190" s="38"/>
      <c r="AA190" s="38"/>
      <c r="AB190" s="39"/>
      <c r="AC190" s="39"/>
      <c r="AD190" s="40"/>
      <c r="AE190" s="18"/>
      <c r="AF190" s="18"/>
      <c r="AG190" s="18"/>
      <c r="AH190" s="18"/>
      <c r="AI190" s="18"/>
      <c r="AJ190" s="18"/>
      <c r="AK190" s="18"/>
      <c r="AL190" s="18"/>
      <c r="AM190" s="18"/>
      <c r="AN190" s="42"/>
      <c r="AO190" s="40"/>
      <c r="AP190" s="48"/>
      <c r="AQ190" s="40"/>
      <c r="AR190" s="64"/>
      <c r="AS190" s="64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62"/>
      <c r="BE190" s="40"/>
      <c r="BF190" s="2"/>
      <c r="BG190" s="2"/>
      <c r="BI190" s="2"/>
      <c r="BJ190" s="2"/>
      <c r="BK190" s="2"/>
      <c r="BL190" s="40"/>
      <c r="BM190" s="40"/>
      <c r="BO190" s="37"/>
      <c r="BP190" s="37"/>
    </row>
    <row r="191" spans="2:68" x14ac:dyDescent="0.35">
      <c r="E191" s="32"/>
      <c r="F191" s="32"/>
      <c r="G191" s="32"/>
      <c r="H191" s="32"/>
      <c r="I191" s="34"/>
      <c r="K191" s="32"/>
      <c r="L191" s="32"/>
      <c r="M191" s="32"/>
      <c r="N191" s="37"/>
      <c r="O191" s="37"/>
      <c r="P191" s="37"/>
      <c r="Q191" s="37"/>
      <c r="X191" s="40"/>
      <c r="Y191" s="40"/>
      <c r="AB191" s="40"/>
      <c r="AC191" s="40"/>
      <c r="AD191" s="40"/>
      <c r="AE191" s="18"/>
      <c r="AF191" s="18"/>
      <c r="AG191" s="18"/>
      <c r="AH191" s="18"/>
      <c r="AI191" s="18"/>
      <c r="AJ191" s="18"/>
      <c r="AK191" s="18"/>
      <c r="AL191" s="48"/>
      <c r="AM191" s="48"/>
      <c r="AN191" s="48"/>
      <c r="AO191" s="48"/>
      <c r="AP191" s="48"/>
      <c r="AQ191" s="40"/>
      <c r="AR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62"/>
      <c r="BE191" s="40"/>
      <c r="BF191" s="40"/>
      <c r="BG191" s="2"/>
      <c r="BI191" s="2"/>
      <c r="BJ191" s="2"/>
      <c r="BK191" s="2"/>
      <c r="BL191" s="40"/>
      <c r="BM191" s="40"/>
      <c r="BO191" s="37"/>
      <c r="BP191" s="37"/>
    </row>
    <row r="192" spans="2:68" x14ac:dyDescent="0.35">
      <c r="E192" s="32"/>
      <c r="F192" s="32"/>
      <c r="G192" s="32"/>
      <c r="H192" s="32"/>
      <c r="I192" s="34"/>
      <c r="K192" s="32"/>
      <c r="L192" s="32"/>
      <c r="M192" s="32"/>
      <c r="N192" s="37"/>
      <c r="O192" s="37"/>
      <c r="P192" s="37"/>
      <c r="Q192" s="37"/>
      <c r="X192" s="40"/>
      <c r="Y192" s="40"/>
      <c r="AB192" s="40"/>
      <c r="AC192" s="40"/>
      <c r="AD192" s="40"/>
      <c r="AE192" s="18"/>
      <c r="AF192" s="18"/>
      <c r="AG192" s="18"/>
      <c r="AH192" s="18"/>
      <c r="AI192" s="18"/>
      <c r="AJ192" s="18"/>
      <c r="AK192" s="18"/>
      <c r="AL192" s="48"/>
      <c r="AM192" s="48"/>
      <c r="AN192" s="48"/>
      <c r="AO192" s="48"/>
      <c r="AP192" s="48"/>
      <c r="AQ192" s="40"/>
      <c r="AR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62"/>
      <c r="BE192" s="40"/>
      <c r="BF192" s="40"/>
      <c r="BG192" s="2"/>
      <c r="BI192" s="2"/>
      <c r="BJ192" s="2"/>
      <c r="BK192" s="2"/>
      <c r="BL192" s="40"/>
      <c r="BM192" s="40"/>
      <c r="BO192" s="37"/>
      <c r="BP192" s="37"/>
    </row>
    <row r="193" spans="5:73" x14ac:dyDescent="0.35">
      <c r="E193" s="32"/>
      <c r="F193" s="32"/>
      <c r="G193" s="32"/>
      <c r="H193" s="32"/>
      <c r="I193" s="32"/>
      <c r="K193" s="32"/>
      <c r="L193" s="32"/>
      <c r="M193" s="32"/>
      <c r="N193" s="37"/>
      <c r="O193" s="37"/>
      <c r="P193" s="37"/>
      <c r="Q193" s="37"/>
      <c r="X193" s="40"/>
      <c r="Y193" s="40"/>
      <c r="AB193" s="40"/>
      <c r="AC193" s="40"/>
      <c r="AD193" s="40"/>
      <c r="AE193" s="18"/>
      <c r="AF193" s="18"/>
      <c r="AG193" s="18"/>
      <c r="AH193" s="18"/>
      <c r="AI193" s="18"/>
      <c r="AJ193" s="18"/>
      <c r="AK193" s="18"/>
      <c r="AL193" s="48"/>
      <c r="AM193" s="64"/>
      <c r="AN193" s="64"/>
      <c r="AO193" s="40"/>
      <c r="AP193" s="48"/>
      <c r="BG193" s="2"/>
    </row>
    <row r="194" spans="5:73" x14ac:dyDescent="0.35">
      <c r="E194" s="32"/>
      <c r="F194" s="32"/>
      <c r="G194" s="32"/>
      <c r="H194" s="32"/>
      <c r="I194" s="32"/>
      <c r="K194" s="32"/>
      <c r="L194" s="32"/>
      <c r="M194" s="32"/>
      <c r="N194" s="37"/>
      <c r="O194" s="37"/>
      <c r="P194" s="37"/>
      <c r="Q194" s="37"/>
      <c r="X194" s="40"/>
      <c r="Y194" s="40"/>
      <c r="AB194" s="40"/>
      <c r="AC194" s="40"/>
      <c r="AD194" s="40"/>
      <c r="AE194" s="18"/>
      <c r="AF194" s="18"/>
      <c r="AG194" s="18"/>
      <c r="AH194" s="18"/>
      <c r="AI194" s="18"/>
      <c r="AJ194" s="18"/>
      <c r="AK194" s="18"/>
      <c r="AL194" s="48"/>
      <c r="AM194" s="64"/>
      <c r="AN194" s="64"/>
      <c r="AO194" s="40"/>
      <c r="AP194" s="48"/>
      <c r="BG194" s="2"/>
    </row>
    <row r="195" spans="5:73" x14ac:dyDescent="0.35">
      <c r="E195" s="32"/>
      <c r="F195" s="32"/>
      <c r="G195" s="32"/>
      <c r="H195" s="32"/>
      <c r="I195" s="32"/>
      <c r="K195" s="32"/>
      <c r="L195" s="32"/>
      <c r="M195" s="32"/>
      <c r="N195" s="37"/>
      <c r="O195" s="37"/>
      <c r="P195" s="37"/>
      <c r="Q195" s="37"/>
      <c r="X195" s="40"/>
      <c r="Y195" s="40"/>
      <c r="AB195" s="40"/>
      <c r="AC195" s="40"/>
      <c r="AD195" s="40"/>
      <c r="AE195" s="18"/>
      <c r="AF195" s="18"/>
      <c r="AG195" s="18"/>
      <c r="AH195" s="18"/>
      <c r="AI195" s="18"/>
      <c r="AJ195" s="18"/>
      <c r="AK195" s="18"/>
      <c r="AL195" s="48"/>
      <c r="AM195" s="40"/>
      <c r="AN195" s="40"/>
      <c r="AO195" s="40"/>
      <c r="AP195" s="48"/>
      <c r="BG195" s="2"/>
    </row>
    <row r="196" spans="5:73" x14ac:dyDescent="0.35">
      <c r="E196" s="32"/>
      <c r="F196" s="32"/>
      <c r="G196" s="32"/>
      <c r="H196" s="32"/>
      <c r="I196" s="32"/>
      <c r="K196" s="32"/>
      <c r="L196" s="32"/>
      <c r="M196" s="32"/>
      <c r="N196" s="37"/>
      <c r="O196" s="37"/>
      <c r="P196" s="37"/>
      <c r="Q196" s="37"/>
      <c r="X196" s="40"/>
      <c r="Y196" s="40"/>
      <c r="AB196" s="40"/>
      <c r="AC196" s="40"/>
      <c r="AD196" s="40"/>
      <c r="AE196" s="18"/>
      <c r="AF196" s="18"/>
      <c r="AG196" s="18"/>
      <c r="AH196" s="18"/>
      <c r="AI196" s="18"/>
      <c r="AJ196" s="18"/>
      <c r="AK196" s="18"/>
      <c r="AL196" s="48"/>
      <c r="AM196" s="48"/>
      <c r="AN196" s="48"/>
      <c r="AO196" s="48"/>
      <c r="AP196" s="48"/>
      <c r="BG196" s="2"/>
    </row>
    <row r="197" spans="5:73" x14ac:dyDescent="0.35">
      <c r="E197" s="32"/>
      <c r="F197" s="32"/>
      <c r="G197" s="32"/>
      <c r="H197" s="32"/>
      <c r="I197" s="32"/>
      <c r="K197" s="32"/>
      <c r="L197" s="32"/>
      <c r="M197" s="32"/>
      <c r="N197" s="37"/>
      <c r="O197" s="37"/>
      <c r="P197" s="37"/>
      <c r="Q197" s="37"/>
      <c r="X197" s="40"/>
      <c r="Y197" s="40"/>
      <c r="AB197" s="40"/>
      <c r="AC197" s="40"/>
      <c r="AD197" s="40"/>
      <c r="AE197" s="18"/>
      <c r="AF197" s="18"/>
      <c r="AG197" s="18"/>
      <c r="AH197" s="18"/>
      <c r="AI197" s="18"/>
      <c r="AJ197" s="18"/>
      <c r="AK197" s="18"/>
      <c r="AL197" s="48"/>
      <c r="AM197" s="48"/>
      <c r="AN197" s="48"/>
      <c r="AO197" s="48"/>
      <c r="AP197" s="48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62"/>
      <c r="BE197" s="40"/>
      <c r="BF197" s="62"/>
      <c r="BG197" s="62"/>
      <c r="BI197" s="2"/>
      <c r="BJ197" s="2"/>
      <c r="BK197" s="2"/>
      <c r="BL197" s="40"/>
      <c r="BM197" s="40"/>
    </row>
    <row r="198" spans="5:73" ht="14.25" x14ac:dyDescent="0.45">
      <c r="G198" s="32"/>
      <c r="H198" s="32"/>
      <c r="I198" s="32"/>
      <c r="K198" s="32"/>
      <c r="L198" s="32"/>
      <c r="M198" s="32"/>
      <c r="N198" s="37"/>
      <c r="O198" s="37"/>
      <c r="P198" s="37"/>
      <c r="Q198" s="37"/>
      <c r="X198" s="40"/>
      <c r="Y198" s="40"/>
      <c r="AB198" s="40"/>
      <c r="AC198" s="40"/>
      <c r="AD198" s="40"/>
      <c r="AE198" s="18"/>
      <c r="AF198" s="18"/>
      <c r="AG198" s="18"/>
      <c r="AH198" s="18"/>
      <c r="AI198" s="18"/>
      <c r="AJ198" s="18"/>
      <c r="AK198" s="18"/>
      <c r="AL198" s="48"/>
      <c r="AM198" s="48"/>
      <c r="AN198" s="48"/>
      <c r="AO198" s="48"/>
      <c r="AP198" s="48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62"/>
      <c r="BE198" s="40"/>
      <c r="BF198" s="62"/>
      <c r="BG198" s="62"/>
      <c r="BI198" s="2"/>
      <c r="BJ198" s="2"/>
      <c r="BK198" s="2"/>
      <c r="BL198" s="40"/>
      <c r="BM198" s="40"/>
      <c r="BN198" s="67"/>
      <c r="BO198" s="68"/>
      <c r="BP198" s="68"/>
      <c r="BQ198" s="68"/>
      <c r="BS198" s="68"/>
      <c r="BU198"/>
    </row>
    <row r="199" spans="5:73" x14ac:dyDescent="0.35">
      <c r="G199" s="32"/>
      <c r="H199" s="32"/>
      <c r="I199" s="32"/>
      <c r="K199" s="32"/>
      <c r="L199" s="32"/>
      <c r="M199" s="32"/>
      <c r="N199" s="37"/>
      <c r="O199" s="37"/>
      <c r="P199" s="37"/>
      <c r="Q199" s="37"/>
      <c r="X199" s="40"/>
      <c r="Y199" s="40"/>
      <c r="AB199" s="40"/>
      <c r="AC199" s="40"/>
      <c r="AD199" s="40"/>
      <c r="AE199" s="18"/>
      <c r="AF199" s="18"/>
      <c r="AG199" s="18"/>
      <c r="AH199" s="18"/>
      <c r="AI199" s="18"/>
      <c r="AJ199" s="18"/>
      <c r="AK199" s="18"/>
      <c r="AL199" s="48"/>
      <c r="AM199" s="48"/>
      <c r="AN199" s="48"/>
      <c r="AO199" s="48"/>
      <c r="AP199" s="48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62"/>
      <c r="BE199" s="40"/>
      <c r="BF199" s="62"/>
      <c r="BG199" s="62"/>
      <c r="BI199" s="2"/>
      <c r="BJ199" s="2"/>
      <c r="BK199" s="2"/>
      <c r="BL199" s="40"/>
      <c r="BM199" s="40"/>
      <c r="BN199"/>
      <c r="BO199" s="69"/>
      <c r="BP199" s="69"/>
      <c r="BQ199" s="69"/>
      <c r="BS199" s="69"/>
      <c r="BU199"/>
    </row>
    <row r="200" spans="5:73" x14ac:dyDescent="0.35">
      <c r="G200" s="32"/>
      <c r="H200" s="32"/>
      <c r="I200" s="32"/>
      <c r="K200" s="32"/>
      <c r="L200" s="32"/>
      <c r="M200" s="32"/>
      <c r="N200" s="37"/>
      <c r="O200" s="37"/>
      <c r="P200" s="37"/>
      <c r="Q200" s="37"/>
      <c r="X200" s="40"/>
      <c r="Y200" s="40"/>
      <c r="AB200" s="40"/>
      <c r="AC200" s="40"/>
      <c r="AD200" s="40"/>
      <c r="AE200" s="18"/>
      <c r="AF200" s="18"/>
      <c r="AG200" s="18"/>
      <c r="AH200" s="18"/>
      <c r="AI200" s="18"/>
      <c r="AJ200" s="18"/>
      <c r="AK200" s="18"/>
      <c r="AL200" s="48"/>
      <c r="AM200" s="48"/>
      <c r="AN200" s="48"/>
      <c r="AO200" s="48"/>
      <c r="AP200" s="48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62"/>
      <c r="BE200" s="40"/>
      <c r="BF200" s="62"/>
      <c r="BG200" s="62"/>
      <c r="BI200" s="2"/>
      <c r="BJ200" s="2"/>
      <c r="BK200" s="2"/>
      <c r="BL200" s="40"/>
      <c r="BM200" s="40"/>
    </row>
    <row r="201" spans="5:73" x14ac:dyDescent="0.35">
      <c r="G201" s="32"/>
      <c r="H201" s="32"/>
      <c r="I201" s="32"/>
      <c r="K201" s="32"/>
      <c r="L201" s="32"/>
      <c r="M201" s="32"/>
      <c r="N201" s="37"/>
      <c r="O201" s="37"/>
      <c r="P201" s="37"/>
      <c r="Q201" s="37"/>
      <c r="X201" s="40"/>
      <c r="Y201" s="40"/>
      <c r="AB201" s="40"/>
      <c r="AC201" s="40"/>
      <c r="AD201" s="40"/>
      <c r="AE201" s="18"/>
      <c r="AF201" s="18"/>
      <c r="AG201" s="18"/>
      <c r="AH201" s="18"/>
      <c r="AI201" s="18"/>
      <c r="AJ201" s="18"/>
      <c r="AK201" s="18"/>
      <c r="AL201" s="48"/>
      <c r="AM201" s="48"/>
      <c r="AN201" s="48"/>
      <c r="AO201" s="48"/>
      <c r="AP201" s="48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62"/>
      <c r="BE201" s="40"/>
      <c r="BF201" s="62"/>
      <c r="BG201" s="62"/>
      <c r="BI201" s="2"/>
      <c r="BJ201" s="2"/>
      <c r="BK201" s="2"/>
      <c r="BL201" s="40"/>
      <c r="BM201" s="40"/>
    </row>
    <row r="202" spans="5:73" x14ac:dyDescent="0.35">
      <c r="G202" s="32"/>
      <c r="H202" s="32"/>
      <c r="I202" s="32"/>
      <c r="K202" s="32"/>
      <c r="L202" s="32"/>
      <c r="M202" s="32"/>
      <c r="N202" s="37"/>
      <c r="O202" s="37"/>
      <c r="P202" s="37"/>
      <c r="Q202" s="37"/>
      <c r="X202" s="40"/>
      <c r="Y202" s="40"/>
      <c r="AB202" s="40"/>
      <c r="AC202" s="40"/>
      <c r="AD202" s="40"/>
      <c r="AE202" s="18"/>
      <c r="AF202" s="18"/>
      <c r="AG202" s="18"/>
      <c r="AH202" s="18"/>
      <c r="AI202" s="18"/>
      <c r="AJ202" s="18"/>
      <c r="AK202" s="18"/>
      <c r="AL202" s="48"/>
      <c r="AM202" s="48"/>
      <c r="AN202" s="48"/>
      <c r="AO202" s="48"/>
      <c r="AP202" s="48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62"/>
      <c r="BE202" s="40"/>
      <c r="BF202" s="62"/>
      <c r="BG202" s="62"/>
      <c r="BI202" s="2"/>
      <c r="BJ202" s="2"/>
      <c r="BK202" s="2"/>
      <c r="BL202" s="40"/>
      <c r="BM202" s="40"/>
    </row>
    <row r="203" spans="5:73" x14ac:dyDescent="0.35">
      <c r="E203" s="32"/>
      <c r="F203" s="32"/>
      <c r="G203" s="32"/>
      <c r="H203" s="32"/>
      <c r="I203" s="32"/>
      <c r="K203" s="32"/>
      <c r="L203" s="32"/>
      <c r="M203" s="32"/>
      <c r="N203" s="37"/>
      <c r="O203" s="37"/>
      <c r="P203" s="37"/>
      <c r="Q203" s="37"/>
      <c r="X203" s="40"/>
      <c r="Y203" s="40"/>
      <c r="AB203" s="40"/>
      <c r="AC203" s="40"/>
      <c r="AD203" s="40"/>
      <c r="AE203" s="18"/>
      <c r="AF203" s="18"/>
      <c r="AG203" s="18"/>
      <c r="AH203" s="18"/>
      <c r="AI203" s="18"/>
      <c r="AJ203" s="18"/>
      <c r="AK203" s="18"/>
      <c r="AL203" s="48"/>
      <c r="AM203" s="48"/>
      <c r="AN203" s="48"/>
      <c r="AO203" s="48"/>
      <c r="AP203" s="48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62"/>
      <c r="BE203" s="40"/>
      <c r="BF203" s="62"/>
      <c r="BG203" s="62"/>
      <c r="BI203" s="2"/>
      <c r="BJ203" s="2"/>
      <c r="BK203" s="2"/>
      <c r="BL203" s="40"/>
      <c r="BM203" s="40"/>
    </row>
    <row r="204" spans="5:73" x14ac:dyDescent="0.35">
      <c r="E204" s="32"/>
      <c r="F204" s="32"/>
      <c r="G204" s="32"/>
      <c r="H204" s="32"/>
      <c r="I204" s="32"/>
      <c r="K204" s="32"/>
      <c r="L204" s="32"/>
      <c r="M204" s="32"/>
      <c r="N204" s="37"/>
      <c r="O204" s="37"/>
      <c r="P204" s="37"/>
      <c r="Q204" s="37"/>
      <c r="X204" s="40"/>
      <c r="Y204" s="40"/>
      <c r="AB204" s="40"/>
      <c r="AC204" s="40"/>
      <c r="AD204" s="40"/>
      <c r="AE204" s="18"/>
      <c r="AF204" s="18"/>
      <c r="AG204" s="18"/>
      <c r="AH204" s="18"/>
      <c r="AI204" s="18"/>
      <c r="AJ204" s="18"/>
      <c r="AK204" s="18"/>
      <c r="AL204" s="48"/>
      <c r="AM204" s="48"/>
      <c r="AN204" s="48"/>
      <c r="AO204" s="48"/>
      <c r="AP204" s="48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62"/>
      <c r="BE204" s="40"/>
      <c r="BF204" s="62"/>
      <c r="BG204" s="62"/>
      <c r="BI204" s="2"/>
      <c r="BJ204" s="2"/>
      <c r="BK204" s="2"/>
      <c r="BL204" s="40"/>
      <c r="BM204" s="40"/>
    </row>
    <row r="205" spans="5:73" x14ac:dyDescent="0.35">
      <c r="E205" s="32"/>
      <c r="F205" s="32"/>
      <c r="G205" s="32"/>
      <c r="H205" s="32"/>
      <c r="I205" s="32"/>
      <c r="K205" s="32"/>
      <c r="L205" s="32"/>
      <c r="M205" s="32"/>
      <c r="N205" s="37"/>
      <c r="O205" s="37"/>
      <c r="P205" s="37"/>
      <c r="Q205" s="37"/>
      <c r="X205" s="40"/>
      <c r="Y205" s="40"/>
      <c r="AB205" s="40"/>
      <c r="AC205" s="40"/>
      <c r="AD205" s="40"/>
      <c r="AE205" s="18"/>
      <c r="AF205" s="18"/>
      <c r="AG205" s="18"/>
      <c r="AH205" s="18"/>
      <c r="AI205" s="18"/>
      <c r="AJ205" s="18"/>
      <c r="AK205" s="18"/>
      <c r="AL205" s="48"/>
      <c r="AM205" s="48"/>
      <c r="AN205" s="48"/>
      <c r="AO205" s="48"/>
      <c r="AP205" s="48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62"/>
      <c r="BE205" s="40"/>
      <c r="BF205" s="62"/>
      <c r="BG205" s="62"/>
      <c r="BI205" s="2"/>
      <c r="BJ205" s="2"/>
      <c r="BK205" s="2"/>
      <c r="BL205" s="40"/>
      <c r="BM205" s="40"/>
    </row>
    <row r="206" spans="5:73" x14ac:dyDescent="0.35">
      <c r="E206" s="32"/>
      <c r="F206" s="32"/>
      <c r="G206" s="32"/>
      <c r="H206" s="32"/>
      <c r="I206" s="32"/>
      <c r="K206" s="32"/>
      <c r="L206" s="32"/>
      <c r="M206" s="32"/>
      <c r="N206" s="37"/>
      <c r="O206" s="37"/>
      <c r="P206" s="37"/>
      <c r="Q206" s="37"/>
      <c r="X206" s="40"/>
      <c r="Y206" s="40"/>
      <c r="AB206" s="40"/>
      <c r="AC206" s="40"/>
      <c r="AD206" s="40"/>
      <c r="AE206" s="18"/>
      <c r="AF206" s="18"/>
      <c r="AG206" s="18"/>
      <c r="AH206" s="18"/>
      <c r="AI206" s="18"/>
      <c r="AJ206" s="18"/>
      <c r="AK206" s="18"/>
      <c r="AL206" s="48"/>
      <c r="AM206" s="48"/>
      <c r="AN206" s="48"/>
      <c r="AO206" s="48"/>
      <c r="AP206" s="48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62"/>
      <c r="BE206" s="40"/>
      <c r="BF206" s="62"/>
      <c r="BG206" s="62"/>
      <c r="BI206" s="2"/>
      <c r="BJ206" s="2"/>
      <c r="BK206" s="2"/>
      <c r="BL206" s="40"/>
      <c r="BM206" s="40"/>
    </row>
    <row r="207" spans="5:73" x14ac:dyDescent="0.35">
      <c r="E207" s="32"/>
      <c r="F207" s="32"/>
      <c r="G207" s="32"/>
      <c r="H207" s="32"/>
      <c r="I207" s="32"/>
      <c r="K207" s="32"/>
      <c r="L207" s="32"/>
      <c r="M207" s="32"/>
      <c r="N207" s="37"/>
      <c r="O207" s="37"/>
      <c r="P207" s="37"/>
      <c r="Q207" s="37"/>
      <c r="X207" s="40"/>
      <c r="Y207" s="40"/>
      <c r="AB207" s="40"/>
      <c r="AC207" s="40"/>
      <c r="AD207" s="40"/>
      <c r="AE207" s="18"/>
      <c r="AF207" s="18"/>
      <c r="AG207" s="18"/>
      <c r="AH207" s="18"/>
      <c r="AI207" s="18"/>
      <c r="AJ207" s="18"/>
      <c r="AK207" s="18"/>
      <c r="AL207" s="48"/>
      <c r="AM207" s="48"/>
      <c r="AN207" s="48"/>
      <c r="AO207" s="48"/>
      <c r="AP207" s="48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62"/>
      <c r="BE207" s="40"/>
      <c r="BF207" s="62"/>
      <c r="BG207" s="62"/>
      <c r="BI207" s="2"/>
      <c r="BJ207" s="2"/>
      <c r="BK207" s="2"/>
      <c r="BL207" s="40"/>
      <c r="BM207" s="40"/>
    </row>
    <row r="208" spans="5:73" x14ac:dyDescent="0.35">
      <c r="E208" s="32"/>
      <c r="F208" s="32"/>
      <c r="G208" s="70"/>
      <c r="H208" s="70"/>
      <c r="I208" s="32"/>
      <c r="K208" s="32"/>
      <c r="L208" s="32"/>
      <c r="M208" s="32"/>
      <c r="N208" s="37"/>
      <c r="O208" s="37"/>
      <c r="P208" s="37"/>
      <c r="Q208" s="37"/>
      <c r="X208" s="40"/>
      <c r="Y208" s="40"/>
      <c r="AB208" s="40"/>
      <c r="AC208" s="40"/>
      <c r="AD208" s="40"/>
      <c r="AE208" s="18"/>
      <c r="AF208" s="18"/>
      <c r="AG208" s="18"/>
      <c r="AH208" s="18"/>
      <c r="AI208" s="18"/>
      <c r="AJ208" s="18"/>
      <c r="AK208" s="18"/>
      <c r="AL208" s="48"/>
      <c r="AM208" s="48"/>
      <c r="AN208" s="48"/>
      <c r="AO208" s="48"/>
      <c r="AP208" s="48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62"/>
      <c r="BE208" s="40"/>
      <c r="BF208" s="62"/>
      <c r="BG208" s="62"/>
      <c r="BI208" s="2"/>
      <c r="BJ208" s="2"/>
      <c r="BK208" s="2"/>
      <c r="BL208" s="40"/>
      <c r="BM208" s="40"/>
    </row>
    <row r="209" spans="5:68" x14ac:dyDescent="0.35">
      <c r="E209" s="32"/>
      <c r="F209" s="32"/>
      <c r="G209" s="32"/>
      <c r="H209" s="32"/>
      <c r="I209" s="32"/>
      <c r="K209" s="32"/>
      <c r="L209" s="32"/>
      <c r="M209" s="32"/>
      <c r="N209" s="37"/>
      <c r="O209" s="37"/>
      <c r="P209" s="37"/>
      <c r="Q209" s="37"/>
      <c r="X209" s="40"/>
      <c r="Y209" s="40"/>
      <c r="AB209" s="40"/>
      <c r="AC209" s="40"/>
      <c r="AD209" s="40"/>
      <c r="AE209" s="18"/>
      <c r="AF209" s="18"/>
      <c r="AG209" s="18"/>
      <c r="AH209" s="18"/>
      <c r="AI209" s="18"/>
      <c r="AJ209" s="18"/>
      <c r="AK209" s="18"/>
      <c r="AL209" s="48"/>
      <c r="AM209" s="48"/>
      <c r="AN209" s="48"/>
      <c r="AO209" s="48"/>
      <c r="AP209" s="48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62"/>
      <c r="BE209" s="40"/>
      <c r="BF209" s="62"/>
      <c r="BG209" s="62"/>
      <c r="BI209" s="2"/>
      <c r="BJ209" s="2"/>
      <c r="BK209" s="2"/>
      <c r="BL209" s="40"/>
      <c r="BM209" s="40"/>
    </row>
    <row r="210" spans="5:68" x14ac:dyDescent="0.35">
      <c r="E210" s="32"/>
      <c r="F210" s="32"/>
      <c r="G210" s="32"/>
      <c r="H210" s="32"/>
      <c r="I210" s="32"/>
      <c r="K210" s="32"/>
      <c r="L210" s="32"/>
      <c r="M210" s="32"/>
      <c r="N210" s="37"/>
      <c r="O210" s="37"/>
      <c r="P210" s="37"/>
      <c r="Q210" s="37"/>
      <c r="X210" s="40"/>
      <c r="Y210" s="40"/>
      <c r="AB210" s="40"/>
      <c r="AC210" s="40"/>
      <c r="AD210" s="40"/>
      <c r="AE210" s="18"/>
      <c r="AF210" s="18"/>
      <c r="AG210" s="18"/>
      <c r="AH210" s="18"/>
      <c r="AI210" s="18"/>
      <c r="AJ210" s="18"/>
      <c r="AK210" s="18"/>
      <c r="AL210" s="48"/>
      <c r="AM210" s="48"/>
      <c r="AN210" s="48"/>
      <c r="AO210" s="48"/>
      <c r="AP210" s="48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62"/>
      <c r="BE210" s="40"/>
      <c r="BF210" s="62"/>
      <c r="BG210" s="62"/>
      <c r="BI210" s="2"/>
      <c r="BJ210" s="2"/>
      <c r="BK210" s="2"/>
      <c r="BL210" s="40"/>
      <c r="BM210" s="40"/>
    </row>
    <row r="211" spans="5:68" x14ac:dyDescent="0.35">
      <c r="E211" s="32"/>
      <c r="F211" s="32"/>
      <c r="G211" s="32"/>
      <c r="H211" s="32"/>
      <c r="I211" s="32"/>
      <c r="K211" s="32"/>
      <c r="L211" s="32"/>
      <c r="M211" s="32"/>
      <c r="N211" s="37"/>
      <c r="O211" s="37"/>
      <c r="P211" s="37"/>
      <c r="Q211" s="37"/>
      <c r="X211" s="40"/>
      <c r="Y211" s="40"/>
      <c r="AB211" s="40"/>
      <c r="AC211" s="40"/>
      <c r="AD211" s="40"/>
      <c r="AE211" s="18"/>
      <c r="AF211" s="18"/>
      <c r="AG211" s="18"/>
      <c r="AH211" s="18"/>
      <c r="AI211" s="18"/>
      <c r="AJ211" s="18"/>
      <c r="AK211" s="18"/>
      <c r="AL211" s="48"/>
      <c r="AM211" s="48"/>
      <c r="AN211" s="48"/>
      <c r="AO211" s="48"/>
      <c r="AP211" s="48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62"/>
      <c r="BE211" s="40"/>
      <c r="BF211" s="62"/>
      <c r="BG211" s="62"/>
      <c r="BI211" s="2"/>
      <c r="BJ211" s="2"/>
      <c r="BK211" s="2"/>
      <c r="BL211" s="40"/>
      <c r="BM211" s="40"/>
    </row>
    <row r="212" spans="5:68" x14ac:dyDescent="0.35">
      <c r="E212" s="32"/>
      <c r="F212" s="32"/>
      <c r="G212" s="32"/>
      <c r="H212" s="32"/>
      <c r="I212" s="32"/>
      <c r="K212" s="32"/>
      <c r="L212" s="32"/>
      <c r="M212" s="32"/>
      <c r="N212" s="37"/>
      <c r="O212" s="37"/>
      <c r="P212" s="37"/>
      <c r="Q212" s="37"/>
      <c r="X212" s="40"/>
      <c r="Y212" s="40"/>
      <c r="AB212" s="40"/>
      <c r="AC212" s="40"/>
      <c r="AD212" s="40"/>
      <c r="AE212" s="18"/>
      <c r="AF212" s="18"/>
      <c r="AG212" s="18"/>
      <c r="AH212" s="18"/>
      <c r="AI212" s="18"/>
      <c r="AJ212" s="18"/>
      <c r="AK212" s="18"/>
      <c r="AL212" s="48"/>
      <c r="AM212" s="48"/>
      <c r="AN212" s="48"/>
      <c r="AO212" s="48"/>
      <c r="AP212" s="48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62"/>
      <c r="BE212" s="40"/>
      <c r="BF212" s="62"/>
      <c r="BG212" s="62"/>
      <c r="BI212" s="2"/>
      <c r="BJ212" s="2"/>
      <c r="BK212" s="2"/>
      <c r="BL212" s="40"/>
      <c r="BM212" s="40"/>
    </row>
    <row r="213" spans="5:68" x14ac:dyDescent="0.35">
      <c r="E213" s="32"/>
      <c r="F213" s="32"/>
      <c r="G213" s="32"/>
      <c r="H213" s="32"/>
      <c r="I213" s="32"/>
      <c r="K213" s="32"/>
      <c r="L213" s="32"/>
      <c r="M213" s="32"/>
      <c r="N213" s="37"/>
      <c r="O213" s="37"/>
      <c r="P213" s="37"/>
      <c r="Q213" s="37"/>
      <c r="X213" s="40"/>
      <c r="Y213" s="40"/>
      <c r="AB213" s="40"/>
      <c r="AC213" s="40"/>
      <c r="AD213" s="40"/>
      <c r="AE213" s="18"/>
      <c r="AF213" s="18"/>
      <c r="AG213" s="18"/>
      <c r="AH213" s="18"/>
      <c r="AI213" s="18"/>
      <c r="AJ213" s="18"/>
      <c r="AK213" s="18"/>
      <c r="AL213" s="48"/>
      <c r="AM213" s="48"/>
      <c r="AN213" s="48"/>
      <c r="AO213" s="48"/>
      <c r="AP213" s="48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62"/>
      <c r="BE213" s="40"/>
      <c r="BF213" s="62"/>
      <c r="BG213" s="62"/>
      <c r="BI213" s="2"/>
      <c r="BJ213" s="2"/>
      <c r="BK213" s="2"/>
      <c r="BL213" s="40"/>
      <c r="BM213" s="40"/>
    </row>
    <row r="214" spans="5:68" x14ac:dyDescent="0.35">
      <c r="E214" s="32"/>
      <c r="F214" s="32"/>
      <c r="G214" s="32"/>
      <c r="H214" s="32"/>
      <c r="I214" s="32"/>
      <c r="K214" s="32"/>
      <c r="L214" s="32"/>
      <c r="M214" s="32"/>
      <c r="N214" s="37"/>
      <c r="O214" s="37"/>
      <c r="P214" s="37"/>
      <c r="Q214" s="37"/>
      <c r="X214" s="40"/>
      <c r="Y214" s="40"/>
      <c r="AB214" s="40"/>
      <c r="AC214" s="40"/>
      <c r="AD214" s="40"/>
      <c r="AE214" s="18"/>
      <c r="AF214" s="18"/>
      <c r="AG214" s="18"/>
      <c r="AH214" s="18"/>
      <c r="AI214" s="18"/>
      <c r="AJ214" s="18"/>
      <c r="AK214" s="18"/>
      <c r="AL214" s="48"/>
      <c r="AM214" s="48"/>
      <c r="AN214" s="48"/>
      <c r="AO214" s="48"/>
      <c r="AP214" s="48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62"/>
      <c r="BE214" s="40"/>
      <c r="BF214" s="62"/>
      <c r="BG214" s="62"/>
      <c r="BI214" s="2"/>
      <c r="BJ214" s="2"/>
      <c r="BK214" s="2"/>
      <c r="BL214" s="40"/>
      <c r="BM214" s="40"/>
    </row>
    <row r="215" spans="5:68" x14ac:dyDescent="0.35">
      <c r="E215" s="32"/>
      <c r="F215" s="32"/>
      <c r="G215" s="32"/>
      <c r="H215" s="32"/>
      <c r="I215" s="32"/>
      <c r="K215" s="32"/>
      <c r="L215" s="32"/>
      <c r="M215" s="32"/>
      <c r="N215" s="37"/>
      <c r="O215" s="37"/>
      <c r="P215" s="37"/>
      <c r="Q215" s="37"/>
      <c r="X215" s="40"/>
      <c r="Y215" s="40"/>
      <c r="AB215" s="40"/>
      <c r="AC215" s="40"/>
      <c r="AD215" s="40"/>
      <c r="AE215" s="18"/>
      <c r="AF215" s="18"/>
      <c r="AG215" s="18"/>
      <c r="AH215" s="18"/>
      <c r="AI215" s="18"/>
      <c r="AJ215" s="18"/>
      <c r="AK215" s="18"/>
      <c r="AL215" s="48"/>
      <c r="AM215" s="48"/>
      <c r="AN215" s="48"/>
      <c r="AO215" s="48"/>
      <c r="AP215" s="48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62"/>
      <c r="BE215" s="40"/>
      <c r="BF215" s="62"/>
      <c r="BG215" s="62"/>
      <c r="BI215" s="2"/>
      <c r="BJ215" s="2"/>
      <c r="BK215" s="2"/>
      <c r="BL215" s="40"/>
      <c r="BM215" s="40"/>
    </row>
    <row r="216" spans="5:68" x14ac:dyDescent="0.35">
      <c r="E216" s="32"/>
      <c r="F216" s="32"/>
      <c r="G216" s="32"/>
      <c r="H216" s="32"/>
      <c r="I216" s="32"/>
      <c r="K216" s="32"/>
      <c r="L216" s="32"/>
      <c r="M216" s="32"/>
      <c r="N216" s="37"/>
      <c r="O216" s="37"/>
      <c r="P216" s="37"/>
      <c r="Q216" s="37"/>
      <c r="X216" s="40"/>
      <c r="Y216" s="40"/>
      <c r="AB216" s="40"/>
      <c r="AC216" s="40"/>
      <c r="AD216" s="40"/>
      <c r="AE216" s="18"/>
      <c r="AF216" s="18"/>
      <c r="AG216" s="18"/>
      <c r="AH216" s="18"/>
      <c r="AI216" s="18"/>
      <c r="AJ216" s="18"/>
      <c r="AK216" s="18"/>
      <c r="AL216" s="48"/>
      <c r="AM216" s="48"/>
      <c r="AN216" s="48"/>
      <c r="AO216" s="48"/>
      <c r="AP216" s="48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62"/>
      <c r="BE216" s="40"/>
      <c r="BF216" s="62"/>
      <c r="BG216" s="62"/>
      <c r="BI216" s="2"/>
      <c r="BJ216" s="2"/>
      <c r="BK216" s="2"/>
      <c r="BL216" s="40"/>
      <c r="BM216" s="40"/>
      <c r="BO216" s="37"/>
      <c r="BP216" s="37"/>
    </row>
    <row r="217" spans="5:68" x14ac:dyDescent="0.35">
      <c r="E217" s="32"/>
      <c r="F217" s="32"/>
      <c r="G217" s="32"/>
      <c r="H217" s="32"/>
      <c r="I217" s="32"/>
      <c r="K217" s="32"/>
      <c r="L217" s="32"/>
      <c r="M217" s="32"/>
      <c r="N217" s="37"/>
      <c r="O217" s="37"/>
      <c r="P217" s="37"/>
      <c r="Q217" s="37"/>
      <c r="X217" s="40"/>
      <c r="Y217" s="40"/>
      <c r="AB217" s="40"/>
      <c r="AC217" s="40"/>
      <c r="AD217" s="40"/>
      <c r="AE217" s="18"/>
      <c r="AF217" s="18"/>
      <c r="AG217" s="18"/>
      <c r="AH217" s="18"/>
      <c r="AI217" s="18"/>
      <c r="AJ217" s="18"/>
      <c r="AK217" s="18"/>
      <c r="AL217" s="48"/>
      <c r="AM217" s="48"/>
      <c r="AN217" s="48"/>
      <c r="AO217" s="48"/>
      <c r="AP217" s="48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62"/>
      <c r="BE217" s="2"/>
      <c r="BF217" s="62"/>
      <c r="BG217" s="62"/>
      <c r="BI217" s="2"/>
      <c r="BJ217" s="2"/>
      <c r="BK217" s="2"/>
      <c r="BL217" s="40"/>
      <c r="BM217" s="40"/>
      <c r="BO217" s="37"/>
      <c r="BP217" s="37"/>
    </row>
    <row r="218" spans="5:68" x14ac:dyDescent="0.35">
      <c r="E218" s="32"/>
      <c r="F218" s="32"/>
      <c r="G218" s="32"/>
      <c r="H218" s="32"/>
      <c r="I218" s="32"/>
      <c r="K218" s="32"/>
      <c r="L218" s="32"/>
      <c r="M218" s="32"/>
      <c r="N218" s="37"/>
      <c r="O218" s="37"/>
      <c r="P218" s="37"/>
      <c r="Q218" s="37"/>
      <c r="X218" s="40"/>
      <c r="Y218" s="40"/>
      <c r="AB218" s="40"/>
      <c r="AC218" s="40"/>
      <c r="AD218" s="40"/>
      <c r="AE218" s="18"/>
      <c r="AF218" s="18"/>
      <c r="AG218" s="18"/>
      <c r="AH218" s="18"/>
      <c r="AI218" s="18"/>
      <c r="AJ218" s="18"/>
      <c r="AK218" s="18"/>
      <c r="AL218" s="48"/>
      <c r="AM218" s="48"/>
      <c r="AN218" s="48"/>
      <c r="AO218" s="48"/>
      <c r="AP218" s="48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62"/>
      <c r="BE218" s="2"/>
      <c r="BF218" s="62"/>
      <c r="BG218" s="62"/>
      <c r="BI218" s="2"/>
      <c r="BJ218" s="2"/>
      <c r="BK218" s="2"/>
      <c r="BL218" s="40"/>
      <c r="BM218" s="40"/>
      <c r="BO218" s="37"/>
      <c r="BP218" s="37"/>
    </row>
    <row r="219" spans="5:68" x14ac:dyDescent="0.35">
      <c r="E219" s="32"/>
      <c r="F219" s="32"/>
      <c r="G219" s="32"/>
      <c r="H219" s="32"/>
      <c r="I219" s="32"/>
      <c r="K219" s="32"/>
      <c r="L219" s="32"/>
      <c r="M219" s="32"/>
      <c r="N219" s="37"/>
      <c r="O219" s="37"/>
      <c r="P219" s="37"/>
      <c r="Q219" s="37"/>
      <c r="X219" s="40"/>
      <c r="Y219" s="40"/>
      <c r="AB219" s="40"/>
      <c r="AC219" s="40"/>
      <c r="AD219" s="40"/>
      <c r="AE219" s="18"/>
      <c r="AF219" s="18"/>
      <c r="AG219" s="18"/>
      <c r="AH219" s="18"/>
      <c r="AI219" s="18"/>
      <c r="AJ219" s="18"/>
      <c r="AK219" s="18"/>
      <c r="AL219" s="48"/>
      <c r="AM219" s="48"/>
      <c r="AN219" s="48"/>
      <c r="AO219" s="48"/>
      <c r="AP219" s="48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62"/>
      <c r="BE219" s="2"/>
      <c r="BF219" s="62"/>
      <c r="BG219" s="62"/>
      <c r="BI219" s="2"/>
      <c r="BJ219" s="2"/>
      <c r="BK219" s="2"/>
      <c r="BL219" s="40"/>
      <c r="BM219" s="40"/>
      <c r="BO219" s="37"/>
      <c r="BP219" s="37"/>
    </row>
    <row r="220" spans="5:68" x14ac:dyDescent="0.35">
      <c r="E220" s="32"/>
      <c r="F220" s="32"/>
      <c r="G220" s="32"/>
      <c r="H220" s="32"/>
      <c r="I220" s="32"/>
      <c r="K220" s="32"/>
      <c r="L220" s="32"/>
      <c r="M220" s="32"/>
      <c r="N220" s="37"/>
      <c r="O220" s="37"/>
      <c r="P220" s="37"/>
      <c r="Q220" s="37"/>
      <c r="X220" s="40"/>
      <c r="Y220" s="40"/>
      <c r="AB220" s="40"/>
      <c r="AC220" s="40"/>
      <c r="AD220" s="40"/>
      <c r="AE220" s="18"/>
      <c r="AF220" s="18"/>
      <c r="AG220" s="18"/>
      <c r="AH220" s="18"/>
      <c r="AI220" s="18"/>
      <c r="AJ220" s="18"/>
      <c r="AK220" s="18"/>
      <c r="AL220" s="48"/>
      <c r="AM220" s="48"/>
      <c r="AN220" s="48"/>
      <c r="AO220" s="48"/>
      <c r="AP220" s="48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62"/>
      <c r="BE220" s="2"/>
      <c r="BF220" s="62"/>
      <c r="BG220" s="62"/>
      <c r="BI220" s="2"/>
      <c r="BJ220" s="2"/>
      <c r="BK220" s="2"/>
      <c r="BL220" s="40"/>
      <c r="BM220" s="40"/>
      <c r="BO220" s="37"/>
      <c r="BP220" s="37"/>
    </row>
    <row r="221" spans="5:68" x14ac:dyDescent="0.35">
      <c r="E221" s="32"/>
      <c r="F221" s="32"/>
      <c r="G221" s="32"/>
      <c r="H221" s="32"/>
      <c r="I221" s="32"/>
      <c r="K221" s="32"/>
      <c r="L221" s="32"/>
      <c r="M221" s="32"/>
      <c r="N221" s="37"/>
      <c r="O221" s="37"/>
      <c r="P221" s="37"/>
      <c r="Q221" s="37"/>
      <c r="X221" s="40"/>
      <c r="Y221" s="40"/>
      <c r="AB221" s="40"/>
      <c r="AC221" s="40"/>
      <c r="AD221" s="40"/>
      <c r="AE221" s="18"/>
      <c r="AF221" s="18"/>
      <c r="AG221" s="18"/>
      <c r="AH221" s="18"/>
      <c r="AI221" s="18"/>
      <c r="AJ221" s="18"/>
      <c r="AK221" s="18"/>
      <c r="AL221" s="48"/>
      <c r="AM221" s="48"/>
      <c r="AN221" s="48"/>
      <c r="AO221" s="48"/>
      <c r="AP221" s="48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62"/>
      <c r="BE221" s="2"/>
      <c r="BF221" s="62"/>
      <c r="BG221" s="62"/>
      <c r="BI221" s="2"/>
      <c r="BJ221" s="2"/>
      <c r="BK221" s="2"/>
      <c r="BL221" s="40"/>
      <c r="BM221" s="40"/>
      <c r="BO221" s="37"/>
      <c r="BP221" s="37"/>
    </row>
    <row r="222" spans="5:68" x14ac:dyDescent="0.35">
      <c r="E222" s="32"/>
      <c r="F222" s="32"/>
      <c r="G222" s="32"/>
      <c r="H222" s="32"/>
      <c r="I222" s="32"/>
      <c r="K222" s="32"/>
      <c r="L222" s="32"/>
      <c r="M222" s="32"/>
      <c r="N222" s="37"/>
      <c r="O222" s="37"/>
      <c r="P222" s="37"/>
      <c r="Q222" s="37"/>
      <c r="X222" s="40"/>
      <c r="Y222" s="40"/>
      <c r="AB222" s="40"/>
      <c r="AC222" s="40"/>
      <c r="AD222" s="40"/>
      <c r="AE222" s="18"/>
      <c r="AF222" s="18"/>
      <c r="AG222" s="18"/>
      <c r="AH222" s="18"/>
      <c r="AI222" s="18"/>
      <c r="AJ222" s="18"/>
      <c r="AK222" s="18"/>
      <c r="AL222" s="48"/>
      <c r="AM222" s="48"/>
      <c r="AN222" s="48"/>
      <c r="AO222" s="48"/>
      <c r="AP222" s="48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62"/>
      <c r="BE222" s="2"/>
      <c r="BF222" s="62"/>
      <c r="BG222" s="62"/>
      <c r="BI222" s="2"/>
      <c r="BJ222" s="2"/>
      <c r="BK222" s="2"/>
      <c r="BL222" s="40"/>
      <c r="BM222" s="40"/>
      <c r="BO222" s="37"/>
      <c r="BP222" s="37"/>
    </row>
    <row r="223" spans="5:68" x14ac:dyDescent="0.35">
      <c r="E223" s="32"/>
      <c r="F223" s="32"/>
      <c r="G223" s="32"/>
      <c r="H223" s="32"/>
      <c r="I223" s="32"/>
      <c r="K223" s="32"/>
      <c r="L223" s="32"/>
      <c r="M223" s="32"/>
      <c r="N223" s="37"/>
      <c r="O223" s="37"/>
      <c r="P223" s="37"/>
      <c r="Q223" s="37"/>
      <c r="X223" s="40"/>
      <c r="Y223" s="40"/>
      <c r="AB223" s="40"/>
      <c r="AC223" s="40"/>
      <c r="AD223" s="40"/>
      <c r="AE223" s="18"/>
      <c r="AF223" s="18"/>
      <c r="AG223" s="18"/>
      <c r="AH223" s="18"/>
      <c r="AI223" s="18"/>
      <c r="AJ223" s="18"/>
      <c r="AK223" s="18"/>
      <c r="AL223" s="48"/>
      <c r="AM223" s="48"/>
      <c r="AN223" s="48"/>
      <c r="AO223" s="48"/>
      <c r="AP223" s="48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62"/>
      <c r="BE223" s="2"/>
      <c r="BF223" s="62"/>
      <c r="BG223" s="62"/>
      <c r="BI223" s="2"/>
      <c r="BJ223" s="2"/>
      <c r="BK223" s="2"/>
      <c r="BL223" s="40"/>
      <c r="BM223" s="40"/>
    </row>
    <row r="224" spans="5:68" x14ac:dyDescent="0.35">
      <c r="E224" s="32"/>
      <c r="F224" s="32"/>
      <c r="G224" s="32"/>
      <c r="H224" s="32"/>
      <c r="I224" s="32"/>
      <c r="K224" s="32"/>
      <c r="L224" s="32"/>
      <c r="M224" s="32"/>
      <c r="N224" s="37"/>
      <c r="O224" s="37"/>
      <c r="P224" s="37"/>
      <c r="Q224" s="37"/>
      <c r="X224" s="40"/>
      <c r="Y224" s="40"/>
      <c r="AB224" s="40"/>
      <c r="AC224" s="40"/>
      <c r="AD224" s="40"/>
      <c r="AE224" s="18"/>
      <c r="AF224" s="18"/>
      <c r="AG224" s="18"/>
      <c r="AH224" s="18"/>
      <c r="AI224" s="18"/>
      <c r="AJ224" s="18"/>
      <c r="AK224" s="18"/>
      <c r="AL224" s="48"/>
      <c r="AM224" s="48"/>
      <c r="AN224" s="48"/>
      <c r="AO224" s="48"/>
      <c r="AP224" s="48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62"/>
      <c r="BE224" s="2"/>
      <c r="BF224" s="62"/>
      <c r="BG224" s="62"/>
      <c r="BI224" s="2"/>
      <c r="BJ224" s="2"/>
      <c r="BK224" s="2"/>
      <c r="BL224" s="40"/>
      <c r="BM224" s="40"/>
    </row>
    <row r="225" spans="5:68" x14ac:dyDescent="0.35">
      <c r="E225" s="32"/>
      <c r="F225" s="32"/>
      <c r="G225" s="32"/>
      <c r="H225" s="32"/>
      <c r="I225" s="32"/>
      <c r="K225" s="32"/>
      <c r="L225" s="32"/>
      <c r="M225" s="32"/>
      <c r="N225" s="37"/>
      <c r="O225" s="37"/>
      <c r="P225" s="37"/>
      <c r="Q225" s="37"/>
      <c r="X225" s="40"/>
      <c r="Y225" s="40"/>
      <c r="AB225" s="40"/>
      <c r="AC225" s="40"/>
      <c r="AD225" s="40"/>
      <c r="AE225" s="18"/>
      <c r="AF225" s="18"/>
      <c r="AG225" s="18"/>
      <c r="AH225" s="18"/>
      <c r="AI225" s="18"/>
      <c r="AJ225" s="18"/>
      <c r="AK225" s="18"/>
      <c r="AL225" s="48"/>
      <c r="AM225" s="48"/>
      <c r="AN225" s="48"/>
      <c r="AO225" s="48"/>
      <c r="AP225" s="48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O225" s="37"/>
      <c r="BP225" s="37"/>
    </row>
    <row r="226" spans="5:68" x14ac:dyDescent="0.35">
      <c r="E226" s="32"/>
      <c r="F226" s="32"/>
      <c r="G226" s="32"/>
      <c r="H226" s="32"/>
      <c r="I226" s="32"/>
      <c r="K226" s="32"/>
      <c r="L226" s="32"/>
      <c r="M226" s="32"/>
      <c r="N226" s="37"/>
      <c r="O226" s="37"/>
      <c r="P226" s="37"/>
      <c r="Q226" s="37"/>
      <c r="X226" s="40"/>
      <c r="Y226" s="40"/>
      <c r="AB226" s="40"/>
      <c r="AC226" s="40"/>
      <c r="AD226" s="40"/>
      <c r="AE226" s="18"/>
      <c r="AF226" s="18"/>
      <c r="AG226" s="18"/>
      <c r="AH226" s="18"/>
      <c r="AI226" s="18"/>
      <c r="AJ226" s="18"/>
      <c r="AK226" s="18"/>
      <c r="AL226" s="48"/>
      <c r="AM226" s="48"/>
      <c r="AN226" s="48"/>
      <c r="AO226" s="48"/>
      <c r="AP226" s="48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</row>
    <row r="227" spans="5:68" x14ac:dyDescent="0.35">
      <c r="E227" s="32"/>
      <c r="F227" s="32"/>
      <c r="G227" s="32"/>
      <c r="H227" s="32"/>
      <c r="I227" s="32"/>
      <c r="K227" s="32"/>
      <c r="L227" s="32"/>
      <c r="M227" s="32"/>
      <c r="N227" s="37"/>
      <c r="O227" s="37"/>
      <c r="P227" s="37"/>
      <c r="Q227" s="37"/>
      <c r="X227" s="40"/>
      <c r="Y227" s="40"/>
      <c r="AB227" s="40"/>
      <c r="AC227" s="40"/>
      <c r="AD227" s="40"/>
      <c r="AE227" s="18"/>
      <c r="AF227" s="18"/>
      <c r="AG227" s="18"/>
      <c r="AH227" s="18"/>
      <c r="AI227" s="18"/>
      <c r="AJ227" s="18"/>
      <c r="AK227" s="18"/>
      <c r="AL227" s="48"/>
      <c r="AM227" s="48"/>
      <c r="AN227" s="48"/>
      <c r="AO227" s="48"/>
      <c r="AP227" s="48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</row>
    <row r="228" spans="5:68" x14ac:dyDescent="0.35">
      <c r="E228" s="32"/>
      <c r="F228" s="32"/>
      <c r="G228" s="32"/>
      <c r="H228" s="32"/>
      <c r="I228" s="32"/>
      <c r="K228" s="32"/>
      <c r="L228" s="32"/>
      <c r="M228" s="32"/>
      <c r="N228" s="37"/>
      <c r="O228" s="37"/>
      <c r="P228" s="37"/>
      <c r="Q228" s="37"/>
      <c r="X228" s="40"/>
      <c r="Y228" s="40"/>
      <c r="AB228" s="40"/>
      <c r="AC228" s="40"/>
      <c r="AD228" s="40"/>
      <c r="AE228" s="18"/>
      <c r="AF228" s="18"/>
      <c r="AG228" s="18"/>
      <c r="AH228" s="18"/>
      <c r="AI228" s="18"/>
      <c r="AJ228" s="18"/>
      <c r="AK228" s="18"/>
      <c r="AL228" s="48"/>
      <c r="AM228" s="48"/>
      <c r="AN228" s="48"/>
      <c r="AO228" s="48"/>
      <c r="AP228" s="48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O228" s="37"/>
      <c r="BP228" s="37"/>
    </row>
    <row r="229" spans="5:68" x14ac:dyDescent="0.35">
      <c r="E229" s="32"/>
      <c r="F229" s="32"/>
      <c r="G229" s="32"/>
      <c r="H229" s="32"/>
      <c r="I229" s="32"/>
      <c r="K229" s="32"/>
      <c r="L229" s="32"/>
      <c r="M229" s="32"/>
      <c r="N229" s="37"/>
      <c r="O229" s="37"/>
      <c r="P229" s="37"/>
      <c r="Q229" s="37"/>
      <c r="X229" s="40"/>
      <c r="Y229" s="40"/>
      <c r="AB229" s="40"/>
      <c r="AC229" s="40"/>
      <c r="AD229" s="40"/>
      <c r="AE229" s="18"/>
      <c r="AF229" s="18"/>
      <c r="AG229" s="18"/>
      <c r="AH229" s="18"/>
      <c r="AI229" s="18"/>
      <c r="AJ229" s="18"/>
      <c r="AK229" s="1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62"/>
      <c r="BE229" s="40"/>
      <c r="BF229" s="62"/>
      <c r="BG229" s="62"/>
      <c r="BL229" s="40"/>
      <c r="BM229" s="40"/>
    </row>
    <row r="230" spans="5:68" x14ac:dyDescent="0.35">
      <c r="E230" s="32"/>
      <c r="F230" s="32"/>
      <c r="G230" s="32"/>
      <c r="H230" s="32"/>
      <c r="I230" s="32"/>
      <c r="K230" s="32"/>
      <c r="L230" s="32"/>
      <c r="M230" s="32"/>
      <c r="N230" s="37"/>
      <c r="O230" s="37"/>
      <c r="P230" s="37"/>
      <c r="Q230" s="37"/>
      <c r="X230" s="40"/>
      <c r="Y230" s="40"/>
      <c r="AB230" s="40"/>
      <c r="AC230" s="40"/>
      <c r="AD230" s="40"/>
      <c r="AE230" s="18"/>
      <c r="AF230" s="18"/>
      <c r="AG230" s="18"/>
      <c r="AH230" s="18"/>
      <c r="AI230" s="18"/>
      <c r="AJ230" s="18"/>
      <c r="AK230" s="1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  <c r="AW230" s="48"/>
      <c r="AX230" s="48"/>
      <c r="AY230" s="48"/>
      <c r="AZ230" s="48"/>
      <c r="BA230" s="48"/>
      <c r="BB230" s="48"/>
      <c r="BC230" s="48"/>
      <c r="BD230" s="62"/>
      <c r="BE230" s="40"/>
      <c r="BF230" s="40"/>
      <c r="BG230" s="54"/>
      <c r="BL230" s="40"/>
      <c r="BM230" s="40"/>
    </row>
    <row r="231" spans="5:68" x14ac:dyDescent="0.35">
      <c r="E231" s="32"/>
      <c r="F231" s="32"/>
      <c r="G231" s="32"/>
      <c r="H231" s="32"/>
      <c r="I231" s="32"/>
      <c r="K231" s="32"/>
      <c r="L231" s="32"/>
      <c r="M231" s="32"/>
      <c r="N231" s="37"/>
      <c r="O231" s="37"/>
      <c r="P231" s="37"/>
      <c r="Q231" s="37"/>
      <c r="X231" s="40"/>
      <c r="Y231" s="40"/>
      <c r="AB231" s="40"/>
      <c r="AC231" s="40"/>
      <c r="AD231" s="40"/>
      <c r="AE231" s="18"/>
      <c r="AF231" s="18"/>
      <c r="AG231" s="18"/>
      <c r="AH231" s="18"/>
      <c r="AI231" s="18"/>
      <c r="AJ231" s="18"/>
      <c r="AK231" s="1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62"/>
      <c r="BE231" s="40"/>
      <c r="BF231" s="40"/>
      <c r="BG231" s="54"/>
      <c r="BL231" s="40"/>
      <c r="BM231" s="40"/>
    </row>
    <row r="232" spans="5:68" x14ac:dyDescent="0.35">
      <c r="E232" s="32"/>
      <c r="F232" s="32"/>
      <c r="G232" s="32"/>
      <c r="H232" s="32"/>
      <c r="I232" s="32"/>
      <c r="K232" s="32"/>
      <c r="L232" s="32"/>
      <c r="M232" s="32"/>
      <c r="N232" s="37"/>
      <c r="O232" s="37"/>
      <c r="P232" s="37"/>
      <c r="Q232" s="37"/>
      <c r="X232" s="40"/>
      <c r="Y232" s="40"/>
      <c r="AB232" s="40"/>
      <c r="AC232" s="40"/>
      <c r="AD232" s="40"/>
      <c r="AE232" s="18"/>
      <c r="AF232" s="18"/>
      <c r="AG232" s="18"/>
      <c r="AH232" s="18"/>
      <c r="AI232" s="18"/>
      <c r="AJ232" s="18"/>
      <c r="AK232" s="1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62"/>
      <c r="BE232" s="40"/>
      <c r="BF232" s="40"/>
      <c r="BG232" s="54"/>
      <c r="BL232" s="40"/>
      <c r="BM232" s="40"/>
    </row>
    <row r="233" spans="5:68" x14ac:dyDescent="0.35">
      <c r="E233" s="32"/>
      <c r="F233" s="32"/>
      <c r="G233" s="32"/>
      <c r="H233" s="32"/>
      <c r="I233" s="32"/>
      <c r="K233" s="32"/>
      <c r="L233" s="32"/>
      <c r="M233" s="32"/>
      <c r="N233" s="37"/>
      <c r="O233" s="37"/>
      <c r="P233" s="37"/>
      <c r="Q233" s="37"/>
      <c r="X233" s="40"/>
      <c r="Y233" s="40"/>
      <c r="AB233" s="40"/>
      <c r="AC233" s="40"/>
      <c r="AD233" s="40"/>
      <c r="AE233" s="18"/>
      <c r="AF233" s="18"/>
      <c r="AG233" s="18"/>
      <c r="AH233" s="18"/>
      <c r="AI233" s="18"/>
      <c r="AJ233" s="18"/>
      <c r="AK233" s="1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/>
      <c r="BE233" s="40"/>
      <c r="BF233" s="40"/>
      <c r="BG233" s="54"/>
      <c r="BL233" s="40"/>
      <c r="BM233" s="40"/>
    </row>
    <row r="234" spans="5:68" x14ac:dyDescent="0.35">
      <c r="E234" s="32"/>
      <c r="F234" s="32"/>
      <c r="G234" s="32"/>
      <c r="H234" s="32"/>
      <c r="I234" s="32"/>
      <c r="K234" s="32"/>
      <c r="L234" s="32"/>
      <c r="M234" s="32"/>
      <c r="N234" s="37"/>
      <c r="O234" s="37"/>
      <c r="P234" s="37"/>
      <c r="Q234" s="37"/>
      <c r="X234" s="40"/>
      <c r="Y234" s="40"/>
      <c r="AB234" s="40"/>
      <c r="AC234" s="40"/>
      <c r="AD234" s="40"/>
      <c r="AE234" s="18"/>
      <c r="AF234" s="18"/>
      <c r="AG234" s="18"/>
      <c r="AH234" s="18"/>
      <c r="AI234" s="18"/>
      <c r="AJ234" s="18"/>
      <c r="AK234" s="18"/>
      <c r="AL234" s="48"/>
      <c r="AM234" s="48"/>
      <c r="AN234" s="48"/>
      <c r="AO234" s="48"/>
      <c r="AP234" s="48"/>
      <c r="AQ234" s="48"/>
      <c r="AR234" s="48"/>
      <c r="AS234" s="48"/>
      <c r="AT234" s="48"/>
      <c r="AU234" s="48"/>
      <c r="AV234" s="48"/>
      <c r="AW234" s="48"/>
      <c r="AX234" s="48"/>
      <c r="AY234" s="48"/>
      <c r="AZ234" s="48"/>
      <c r="BA234" s="48"/>
      <c r="BB234" s="48"/>
      <c r="BC234" s="48"/>
      <c r="BD234" s="48"/>
      <c r="BE234" s="40"/>
      <c r="BF234" s="40"/>
      <c r="BG234" s="54"/>
      <c r="BL234" s="40"/>
      <c r="BM234" s="40"/>
    </row>
    <row r="235" spans="5:68" x14ac:dyDescent="0.35">
      <c r="E235" s="32"/>
      <c r="F235" s="32"/>
      <c r="G235" s="32"/>
      <c r="H235" s="32"/>
      <c r="I235" s="32"/>
      <c r="K235" s="32"/>
      <c r="L235" s="32"/>
      <c r="M235" s="32"/>
      <c r="N235" s="37"/>
      <c r="O235" s="37"/>
      <c r="P235" s="37"/>
      <c r="Q235" s="37"/>
      <c r="X235" s="40"/>
      <c r="Y235" s="40"/>
      <c r="AB235" s="40"/>
      <c r="AC235" s="40"/>
      <c r="AD235" s="40"/>
      <c r="AE235" s="18"/>
      <c r="AF235" s="18"/>
      <c r="AG235" s="18"/>
      <c r="AH235" s="18"/>
      <c r="AI235" s="18"/>
      <c r="AJ235" s="18"/>
      <c r="AK235" s="1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48"/>
      <c r="BE235" s="40"/>
      <c r="BF235" s="40"/>
      <c r="BG235" s="54"/>
      <c r="BL235" s="40"/>
      <c r="BM235" s="40"/>
    </row>
    <row r="236" spans="5:68" x14ac:dyDescent="0.35">
      <c r="E236" s="32"/>
      <c r="F236" s="32"/>
      <c r="G236" s="32"/>
      <c r="H236" s="32"/>
      <c r="I236" s="32"/>
      <c r="K236" s="32"/>
      <c r="L236" s="32"/>
      <c r="M236" s="32"/>
      <c r="N236" s="37"/>
      <c r="O236" s="37"/>
      <c r="P236" s="37"/>
      <c r="Q236" s="37"/>
      <c r="X236" s="40"/>
      <c r="Y236" s="40"/>
      <c r="AB236" s="40"/>
      <c r="AC236" s="40"/>
      <c r="AD236" s="40"/>
      <c r="AE236" s="18"/>
      <c r="AF236" s="18"/>
      <c r="AG236" s="18"/>
      <c r="AH236" s="18"/>
      <c r="AI236" s="18"/>
      <c r="AJ236" s="18"/>
      <c r="AK236" s="18"/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  <c r="BD236" s="48"/>
      <c r="BE236" s="40"/>
      <c r="BF236" s="40"/>
      <c r="BG236" s="54"/>
      <c r="BL236" s="40"/>
      <c r="BM236" s="40"/>
    </row>
    <row r="237" spans="5:68" x14ac:dyDescent="0.35">
      <c r="E237" s="32"/>
      <c r="F237" s="32"/>
      <c r="G237" s="32"/>
      <c r="H237" s="32"/>
      <c r="I237" s="32"/>
      <c r="K237" s="32"/>
      <c r="L237" s="32"/>
      <c r="M237" s="32"/>
      <c r="N237" s="37"/>
      <c r="O237" s="37"/>
      <c r="P237" s="37"/>
      <c r="Q237" s="37"/>
      <c r="X237" s="40"/>
      <c r="Y237" s="40"/>
      <c r="AB237" s="40"/>
      <c r="AC237" s="40"/>
      <c r="AD237" s="40"/>
      <c r="AE237" s="18"/>
      <c r="AF237" s="18"/>
      <c r="AG237" s="18"/>
      <c r="AH237" s="18"/>
      <c r="AI237" s="18"/>
      <c r="AJ237" s="18"/>
      <c r="AK237" s="18"/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  <c r="AW237" s="48"/>
      <c r="AX237" s="48"/>
      <c r="AY237" s="48"/>
      <c r="AZ237" s="48"/>
      <c r="BA237" s="48"/>
      <c r="BB237" s="48"/>
      <c r="BC237" s="48"/>
      <c r="BD237" s="48"/>
      <c r="BE237" s="40"/>
      <c r="BF237" s="40"/>
      <c r="BG237" s="54"/>
      <c r="BL237" s="40"/>
      <c r="BM237" s="40"/>
    </row>
    <row r="238" spans="5:68" x14ac:dyDescent="0.35">
      <c r="E238" s="32"/>
      <c r="F238" s="32"/>
      <c r="G238" s="32"/>
      <c r="H238" s="32"/>
      <c r="I238" s="32"/>
      <c r="K238" s="32"/>
      <c r="L238" s="32"/>
      <c r="M238" s="32"/>
      <c r="N238" s="37"/>
      <c r="O238" s="37"/>
      <c r="P238" s="37"/>
      <c r="Q238" s="37"/>
      <c r="X238" s="40"/>
      <c r="Y238" s="40"/>
      <c r="AB238" s="40"/>
      <c r="AC238" s="40"/>
      <c r="AD238" s="40"/>
      <c r="AE238" s="18"/>
      <c r="AF238" s="18"/>
      <c r="AG238" s="18"/>
      <c r="AH238" s="18"/>
      <c r="AI238" s="18"/>
      <c r="AJ238" s="18"/>
      <c r="AK238" s="1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48">
        <v>6.1099362180563155</v>
      </c>
      <c r="AX238" s="48">
        <v>4.848487751273356E-2</v>
      </c>
      <c r="AY238" s="48">
        <v>5.0587720662868101</v>
      </c>
      <c r="AZ238" s="48">
        <v>0.53378471631582558</v>
      </c>
      <c r="BA238" s="48"/>
      <c r="BB238" s="48"/>
      <c r="BC238" s="48"/>
      <c r="BD238" s="48"/>
      <c r="BE238" s="40"/>
      <c r="BF238" s="40"/>
      <c r="BG238" s="54"/>
      <c r="BL238" s="40"/>
      <c r="BM238" s="40"/>
    </row>
    <row r="239" spans="5:68" x14ac:dyDescent="0.35">
      <c r="E239" s="32"/>
      <c r="F239" s="32"/>
      <c r="G239" s="32"/>
      <c r="H239" s="32"/>
      <c r="I239" s="32"/>
      <c r="K239" s="32"/>
      <c r="L239" s="32"/>
      <c r="M239" s="32"/>
      <c r="N239" s="37"/>
      <c r="O239" s="37"/>
      <c r="P239" s="37"/>
      <c r="Q239" s="37"/>
      <c r="X239" s="40"/>
      <c r="Y239" s="40"/>
      <c r="AB239" s="40"/>
      <c r="AC239" s="40"/>
      <c r="AD239" s="40"/>
      <c r="AE239" s="18"/>
      <c r="AF239" s="18"/>
      <c r="AG239" s="18"/>
      <c r="AH239" s="18"/>
      <c r="AI239" s="18"/>
      <c r="AJ239" s="18"/>
      <c r="AK239" s="18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  <c r="AW239" s="48">
        <v>4.531056495424262</v>
      </c>
      <c r="AX239" s="48">
        <v>5.7541490223279222E-2</v>
      </c>
      <c r="AY239" s="48">
        <v>3.4235274179967585</v>
      </c>
      <c r="AZ239" s="48">
        <v>0.2679462578346592</v>
      </c>
      <c r="BA239" s="48"/>
      <c r="BB239" s="48"/>
      <c r="BC239" s="48"/>
      <c r="BD239" s="48"/>
      <c r="BE239" s="62"/>
      <c r="BF239" s="40"/>
      <c r="BG239" s="54"/>
      <c r="BL239" s="40"/>
      <c r="BM239" s="40"/>
    </row>
    <row r="240" spans="5:68" x14ac:dyDescent="0.35">
      <c r="E240" s="32"/>
      <c r="F240" s="32"/>
      <c r="G240" s="32"/>
      <c r="H240" s="32"/>
      <c r="I240" s="32"/>
      <c r="K240" s="32"/>
      <c r="L240" s="32"/>
      <c r="M240" s="32"/>
      <c r="N240" s="37"/>
      <c r="O240" s="37"/>
      <c r="P240" s="37"/>
      <c r="Q240" s="37"/>
      <c r="X240" s="40"/>
      <c r="Y240" s="40"/>
      <c r="AB240" s="40"/>
      <c r="AC240" s="40"/>
      <c r="AD240" s="40"/>
      <c r="AE240" s="18"/>
      <c r="AF240" s="18"/>
      <c r="AG240" s="18"/>
      <c r="AH240" s="18"/>
      <c r="AI240" s="18"/>
      <c r="AJ240" s="18"/>
      <c r="AK240" s="1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>
        <v>0.84394217218710377</v>
      </c>
      <c r="AX240" s="48">
        <v>1.11737943597573E-6</v>
      </c>
      <c r="AY240" s="48">
        <v>0.84394217218710377</v>
      </c>
      <c r="AZ240" s="48">
        <v>1.1173794359757301E-7</v>
      </c>
      <c r="BA240" s="48"/>
      <c r="BB240" s="48"/>
      <c r="BC240" s="48"/>
      <c r="BD240" s="48"/>
      <c r="BE240" s="62"/>
      <c r="BF240" s="40"/>
      <c r="BG240" s="54"/>
      <c r="BL240" s="40"/>
      <c r="BM240" s="40"/>
    </row>
    <row r="241" spans="7:65" x14ac:dyDescent="0.35">
      <c r="G241" s="32"/>
      <c r="H241" s="32"/>
      <c r="I241" s="32"/>
      <c r="K241" s="32"/>
      <c r="L241" s="32"/>
      <c r="M241" s="32"/>
      <c r="N241" s="37"/>
      <c r="O241" s="37"/>
      <c r="P241" s="37"/>
      <c r="Q241" s="37"/>
      <c r="X241" s="40"/>
      <c r="Y241" s="40"/>
      <c r="AB241" s="40"/>
      <c r="AC241" s="40"/>
      <c r="AD241" s="40"/>
      <c r="AE241" s="18"/>
      <c r="AF241" s="18"/>
      <c r="AG241" s="18"/>
      <c r="AH241" s="18"/>
      <c r="AI241" s="18"/>
      <c r="AJ241" s="18"/>
      <c r="AK241" s="1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  <c r="AW241" s="48"/>
      <c r="AX241" s="48"/>
      <c r="AY241" s="48"/>
      <c r="AZ241" s="48"/>
      <c r="BA241" s="48"/>
      <c r="BB241" s="48"/>
      <c r="BC241" s="48"/>
      <c r="BD241" s="48"/>
      <c r="BE241" s="62"/>
      <c r="BF241" s="40"/>
      <c r="BG241" s="54"/>
      <c r="BL241" s="40"/>
      <c r="BM241" s="40"/>
    </row>
    <row r="242" spans="7:65" x14ac:dyDescent="0.35">
      <c r="G242" s="32"/>
      <c r="H242" s="32"/>
      <c r="I242" s="32"/>
      <c r="K242" s="32"/>
      <c r="L242" s="32"/>
      <c r="M242" s="32"/>
      <c r="N242" s="37"/>
      <c r="O242" s="37"/>
      <c r="P242" s="37"/>
      <c r="Q242" s="37"/>
      <c r="X242" s="40"/>
      <c r="Y242" s="40"/>
      <c r="AB242" s="40"/>
      <c r="AC242" s="40"/>
      <c r="AD242" s="40"/>
      <c r="AE242" s="18"/>
      <c r="AF242" s="18"/>
      <c r="AG242" s="18"/>
      <c r="AH242" s="18"/>
      <c r="AI242" s="18"/>
      <c r="AJ242" s="18"/>
      <c r="AK242" s="1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/>
      <c r="BE242" s="62"/>
      <c r="BF242" s="40"/>
      <c r="BG242" s="54"/>
      <c r="BL242" s="40"/>
      <c r="BM242" s="40"/>
    </row>
    <row r="243" spans="7:65" x14ac:dyDescent="0.35">
      <c r="G243" s="32"/>
      <c r="H243" s="32"/>
      <c r="I243" s="32"/>
      <c r="K243" s="32"/>
      <c r="L243" s="32"/>
      <c r="M243" s="32"/>
      <c r="N243" s="37"/>
      <c r="O243" s="37"/>
      <c r="P243" s="37"/>
      <c r="Q243" s="37"/>
      <c r="X243" s="40"/>
      <c r="Y243" s="40"/>
      <c r="AB243" s="40"/>
      <c r="AC243" s="40"/>
      <c r="AD243" s="40"/>
      <c r="AE243" s="18"/>
      <c r="AF243" s="18"/>
      <c r="AG243" s="18"/>
      <c r="AH243" s="18"/>
      <c r="AI243" s="18"/>
      <c r="AJ243" s="18"/>
      <c r="AK243" s="18"/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  <c r="AW243" s="48"/>
      <c r="AX243" s="48"/>
      <c r="AY243" s="48"/>
      <c r="AZ243" s="48"/>
      <c r="BA243" s="48"/>
      <c r="BB243" s="48"/>
      <c r="BC243" s="48"/>
      <c r="BD243" s="48"/>
      <c r="BE243" s="62"/>
      <c r="BF243" s="40"/>
      <c r="BG243" s="54"/>
      <c r="BL243" s="40"/>
      <c r="BM243" s="40"/>
    </row>
    <row r="244" spans="7:65" x14ac:dyDescent="0.35">
      <c r="G244" s="32"/>
      <c r="H244" s="32"/>
      <c r="I244" s="32"/>
      <c r="K244" s="32"/>
      <c r="L244" s="32"/>
      <c r="M244" s="32"/>
      <c r="N244" s="37"/>
      <c r="O244" s="37"/>
      <c r="P244" s="37"/>
      <c r="Q244" s="37"/>
      <c r="X244" s="40"/>
      <c r="Y244" s="40"/>
      <c r="AB244" s="40"/>
      <c r="AC244" s="40"/>
      <c r="AD244" s="40"/>
      <c r="AE244" s="18"/>
      <c r="AF244" s="18"/>
      <c r="AG244" s="18"/>
      <c r="AH244" s="18"/>
      <c r="AI244" s="18"/>
      <c r="AJ244" s="18"/>
      <c r="AK244" s="1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  <c r="AX244" s="48"/>
      <c r="AY244" s="48"/>
      <c r="AZ244" s="48"/>
      <c r="BA244" s="48"/>
      <c r="BB244" s="48"/>
      <c r="BC244" s="48"/>
      <c r="BD244" s="48"/>
      <c r="BE244" s="62"/>
      <c r="BF244" s="40"/>
      <c r="BG244" s="54"/>
      <c r="BL244" s="40"/>
      <c r="BM244" s="40"/>
    </row>
    <row r="245" spans="7:65" x14ac:dyDescent="0.35">
      <c r="G245" s="32"/>
      <c r="H245" s="32"/>
      <c r="I245" s="32"/>
      <c r="K245" s="32"/>
      <c r="L245" s="32"/>
      <c r="M245" s="32"/>
      <c r="N245" s="37"/>
      <c r="O245" s="37"/>
      <c r="P245" s="37"/>
      <c r="Q245" s="37"/>
      <c r="X245" s="40"/>
      <c r="Y245" s="40"/>
      <c r="AB245" s="40"/>
      <c r="AC245" s="40"/>
      <c r="AD245" s="40"/>
      <c r="AE245" s="18"/>
      <c r="AF245" s="18"/>
      <c r="AG245" s="18"/>
      <c r="AH245" s="18"/>
      <c r="AI245" s="18"/>
      <c r="AJ245" s="18"/>
      <c r="AK245" s="18"/>
      <c r="AL245" s="48"/>
      <c r="AM245" s="48"/>
      <c r="AN245" s="48"/>
      <c r="AO245" s="48"/>
      <c r="AP245" s="48"/>
      <c r="AQ245" s="48"/>
      <c r="AR245" s="48"/>
      <c r="AS245" s="48"/>
      <c r="AT245" s="48"/>
      <c r="AU245" s="48"/>
      <c r="AV245" s="48"/>
      <c r="AW245" s="48"/>
      <c r="AX245" s="48"/>
      <c r="AY245" s="48"/>
      <c r="AZ245" s="48"/>
      <c r="BA245" s="48"/>
      <c r="BB245" s="48"/>
      <c r="BC245" s="48"/>
      <c r="BD245" s="48"/>
      <c r="BE245" s="62"/>
      <c r="BF245" s="40"/>
      <c r="BG245" s="54"/>
      <c r="BL245" s="40"/>
      <c r="BM245" s="40"/>
    </row>
    <row r="246" spans="7:65" x14ac:dyDescent="0.35">
      <c r="G246" s="32"/>
      <c r="H246" s="32"/>
      <c r="I246" s="32"/>
      <c r="K246" s="32"/>
      <c r="L246" s="32"/>
      <c r="M246" s="32"/>
      <c r="N246" s="37"/>
      <c r="O246" s="37"/>
      <c r="P246" s="37"/>
      <c r="Q246" s="37"/>
      <c r="X246" s="40"/>
      <c r="Y246" s="40"/>
      <c r="AB246" s="40"/>
      <c r="AC246" s="40"/>
      <c r="AD246" s="40"/>
      <c r="AE246" s="18"/>
      <c r="AF246" s="18"/>
      <c r="AG246" s="18"/>
      <c r="AH246" s="18"/>
      <c r="AI246" s="18"/>
      <c r="AJ246" s="18"/>
      <c r="AK246" s="1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  <c r="AW246" s="48"/>
      <c r="AX246" s="48"/>
      <c r="AY246" s="48"/>
      <c r="AZ246" s="48"/>
      <c r="BA246" s="48"/>
      <c r="BB246" s="48"/>
      <c r="BC246" s="48"/>
      <c r="BD246" s="48"/>
      <c r="BE246" s="62"/>
      <c r="BF246" s="40"/>
      <c r="BG246" s="54"/>
      <c r="BL246" s="40"/>
      <c r="BM246" s="40"/>
    </row>
    <row r="247" spans="7:65" x14ac:dyDescent="0.35">
      <c r="G247" s="32"/>
      <c r="H247" s="32"/>
      <c r="I247" s="32"/>
      <c r="K247" s="32"/>
      <c r="L247" s="32"/>
      <c r="M247" s="32"/>
      <c r="N247" s="37"/>
      <c r="O247" s="37"/>
      <c r="P247" s="37"/>
      <c r="Q247" s="37"/>
      <c r="X247" s="40"/>
      <c r="Y247" s="40"/>
      <c r="AB247" s="40"/>
      <c r="AC247" s="40"/>
      <c r="AD247" s="40"/>
      <c r="AE247" s="18"/>
      <c r="AF247" s="18"/>
      <c r="AG247" s="18"/>
      <c r="AH247" s="18"/>
      <c r="AI247" s="18"/>
      <c r="AJ247" s="18"/>
      <c r="AK247" s="1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62"/>
      <c r="BF247" s="40"/>
      <c r="BG247" s="54"/>
      <c r="BL247" s="40"/>
      <c r="BM247" s="40"/>
    </row>
    <row r="248" spans="7:65" x14ac:dyDescent="0.35">
      <c r="G248" s="32"/>
      <c r="H248" s="32"/>
      <c r="I248" s="32"/>
      <c r="K248" s="32"/>
      <c r="L248" s="32"/>
      <c r="M248" s="32"/>
      <c r="N248" s="37"/>
      <c r="O248" s="37"/>
      <c r="P248" s="37"/>
      <c r="Q248" s="37"/>
      <c r="X248" s="40"/>
      <c r="Y248" s="40"/>
      <c r="AB248" s="40"/>
      <c r="AC248" s="40"/>
      <c r="AD248" s="40"/>
      <c r="AE248" s="18"/>
      <c r="AF248" s="18"/>
      <c r="AG248" s="18"/>
      <c r="AH248" s="18"/>
      <c r="AI248" s="18"/>
      <c r="AJ248" s="18"/>
      <c r="AK248" s="1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/>
      <c r="BE248" s="62"/>
      <c r="BF248" s="40"/>
      <c r="BG248" s="54"/>
      <c r="BL248" s="40"/>
      <c r="BM248" s="40"/>
    </row>
    <row r="249" spans="7:65" x14ac:dyDescent="0.35">
      <c r="G249" s="32"/>
      <c r="H249" s="32"/>
      <c r="I249" s="32"/>
      <c r="K249" s="32"/>
      <c r="L249" s="32"/>
      <c r="M249" s="32"/>
      <c r="N249" s="37"/>
      <c r="O249" s="37"/>
      <c r="P249" s="37"/>
      <c r="Q249" s="37"/>
      <c r="X249" s="40"/>
      <c r="Y249" s="40"/>
      <c r="AB249" s="40"/>
      <c r="AC249" s="40"/>
      <c r="AD249" s="40"/>
      <c r="AE249" s="18"/>
      <c r="AF249" s="18"/>
      <c r="AG249" s="18"/>
      <c r="AH249" s="18"/>
      <c r="AI249" s="18"/>
      <c r="AJ249" s="18"/>
      <c r="AK249" s="1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62"/>
      <c r="BF249" s="40"/>
      <c r="BG249" s="54"/>
      <c r="BL249" s="40"/>
      <c r="BM249" s="40"/>
    </row>
    <row r="250" spans="7:65" x14ac:dyDescent="0.35">
      <c r="G250" s="32"/>
      <c r="H250" s="32"/>
      <c r="I250" s="32"/>
      <c r="K250" s="32"/>
      <c r="L250" s="32"/>
      <c r="M250" s="32"/>
      <c r="N250" s="37"/>
      <c r="O250" s="37"/>
      <c r="P250" s="37"/>
      <c r="Q250" s="37"/>
      <c r="X250" s="40"/>
      <c r="Y250" s="40"/>
      <c r="AB250" s="40"/>
      <c r="AC250" s="40"/>
      <c r="AD250" s="40"/>
      <c r="AE250" s="18"/>
      <c r="AF250" s="18"/>
      <c r="AG250" s="18"/>
      <c r="AH250" s="18"/>
      <c r="AI250" s="18"/>
      <c r="AJ250" s="18"/>
      <c r="AK250" s="1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/>
      <c r="BE250" s="62"/>
      <c r="BF250" s="40"/>
      <c r="BG250" s="54"/>
      <c r="BL250" s="40"/>
      <c r="BM250" s="40"/>
    </row>
    <row r="251" spans="7:65" x14ac:dyDescent="0.35">
      <c r="G251" s="32"/>
      <c r="H251" s="32"/>
      <c r="I251" s="32"/>
      <c r="K251" s="32"/>
      <c r="L251" s="32"/>
      <c r="M251" s="32"/>
      <c r="N251" s="37"/>
      <c r="O251" s="37"/>
      <c r="P251" s="37"/>
      <c r="Q251" s="37"/>
      <c r="X251" s="40"/>
      <c r="Y251" s="40"/>
      <c r="AB251" s="40"/>
      <c r="AC251" s="40"/>
      <c r="AD251" s="40"/>
      <c r="AE251" s="18"/>
      <c r="AF251" s="18"/>
      <c r="AG251" s="18"/>
      <c r="AH251" s="18"/>
      <c r="AI251" s="18"/>
      <c r="AJ251" s="18"/>
      <c r="AK251" s="18"/>
      <c r="AL251" s="48"/>
      <c r="AM251" s="48"/>
      <c r="AN251" s="48"/>
      <c r="AO251" s="48"/>
      <c r="AP251" s="48"/>
      <c r="AQ251" s="48"/>
      <c r="AR251" s="48"/>
      <c r="AS251" s="48"/>
      <c r="AT251" s="48"/>
      <c r="AU251" s="48"/>
      <c r="AV251" s="48"/>
      <c r="AW251" s="48"/>
      <c r="AX251" s="48"/>
      <c r="AY251" s="48"/>
      <c r="AZ251" s="48"/>
      <c r="BA251" s="48"/>
      <c r="BB251" s="48"/>
      <c r="BC251" s="48"/>
      <c r="BD251" s="48"/>
      <c r="BE251" s="62"/>
      <c r="BF251" s="40"/>
      <c r="BG251" s="54"/>
      <c r="BL251" s="40"/>
      <c r="BM251" s="40"/>
    </row>
    <row r="252" spans="7:65" x14ac:dyDescent="0.35">
      <c r="G252" s="32"/>
      <c r="H252" s="32"/>
      <c r="I252" s="32"/>
      <c r="K252" s="32"/>
      <c r="L252" s="32"/>
      <c r="M252" s="32"/>
      <c r="N252" s="37"/>
      <c r="O252" s="37"/>
      <c r="P252" s="37"/>
      <c r="Q252" s="37"/>
      <c r="X252" s="40"/>
      <c r="Y252" s="40"/>
      <c r="AB252" s="40"/>
      <c r="AC252" s="40"/>
      <c r="AD252" s="40"/>
      <c r="AE252" s="18"/>
      <c r="AF252" s="18"/>
      <c r="AG252" s="18"/>
      <c r="AH252" s="18"/>
      <c r="AI252" s="18"/>
      <c r="AJ252" s="18"/>
      <c r="AK252" s="1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/>
      <c r="BE252" s="62"/>
      <c r="BF252" s="40"/>
      <c r="BG252" s="54"/>
      <c r="BL252" s="40"/>
      <c r="BM252" s="40"/>
    </row>
    <row r="253" spans="7:65" x14ac:dyDescent="0.35">
      <c r="G253" s="32"/>
      <c r="H253" s="32"/>
      <c r="I253" s="32"/>
      <c r="K253" s="32"/>
      <c r="L253" s="32"/>
      <c r="M253" s="32"/>
      <c r="N253" s="37"/>
      <c r="O253" s="37"/>
      <c r="P253" s="37"/>
      <c r="Q253" s="37"/>
      <c r="X253" s="40"/>
      <c r="Y253" s="40"/>
      <c r="AB253" s="40"/>
      <c r="AC253" s="40"/>
      <c r="AD253" s="40"/>
      <c r="AE253" s="18"/>
      <c r="AF253" s="18"/>
      <c r="AG253" s="18"/>
      <c r="AH253" s="18"/>
      <c r="AI253" s="18"/>
      <c r="AJ253" s="18"/>
      <c r="AK253" s="18"/>
      <c r="AL253" s="42"/>
      <c r="AM253" s="42"/>
      <c r="AN253" s="42"/>
      <c r="AO253" s="42"/>
      <c r="AP253" s="42"/>
      <c r="AQ253" s="48"/>
      <c r="AR253" s="48"/>
      <c r="AS253" s="48"/>
      <c r="AT253" s="48"/>
      <c r="AU253" s="48"/>
      <c r="AV253" s="48"/>
      <c r="AW253" s="48"/>
      <c r="AX253" s="48"/>
      <c r="AY253" s="48"/>
      <c r="AZ253" s="48"/>
      <c r="BA253" s="48"/>
      <c r="BB253" s="48"/>
      <c r="BC253" s="48"/>
      <c r="BD253" s="48"/>
      <c r="BE253" s="62"/>
      <c r="BF253" s="40"/>
      <c r="BG253" s="54"/>
      <c r="BL253" s="40"/>
      <c r="BM253" s="40"/>
    </row>
    <row r="254" spans="7:65" x14ac:dyDescent="0.35">
      <c r="G254" s="32"/>
      <c r="H254" s="32"/>
      <c r="I254" s="32"/>
      <c r="K254" s="32"/>
      <c r="L254" s="32"/>
      <c r="M254" s="32"/>
      <c r="N254" s="37"/>
      <c r="O254" s="37"/>
      <c r="P254" s="37"/>
      <c r="Q254" s="37"/>
      <c r="X254" s="40"/>
      <c r="Y254" s="40"/>
      <c r="AB254" s="40"/>
      <c r="AC254" s="40"/>
      <c r="AD254" s="40"/>
      <c r="AE254" s="18"/>
      <c r="AF254" s="18"/>
      <c r="AG254" s="18"/>
      <c r="AH254" s="18"/>
      <c r="AI254" s="18"/>
      <c r="AJ254" s="18"/>
      <c r="AK254" s="18"/>
      <c r="AL254" s="42"/>
      <c r="AM254" s="42"/>
      <c r="AN254" s="42"/>
      <c r="AO254" s="42"/>
      <c r="AP254" s="42"/>
      <c r="AQ254" s="48"/>
      <c r="AR254" s="48"/>
      <c r="AS254" s="48"/>
      <c r="AT254" s="48"/>
      <c r="AU254" s="48"/>
      <c r="AV254" s="48"/>
      <c r="AW254" s="48"/>
      <c r="AX254" s="48"/>
      <c r="AY254" s="48"/>
      <c r="AZ254" s="48"/>
      <c r="BA254" s="48"/>
      <c r="BB254" s="48"/>
      <c r="BC254" s="48"/>
      <c r="BD254" s="48"/>
      <c r="BE254" s="62"/>
      <c r="BF254" s="40"/>
      <c r="BG254" s="54"/>
      <c r="BL254" s="40"/>
      <c r="BM254" s="40"/>
    </row>
    <row r="255" spans="7:65" x14ac:dyDescent="0.35">
      <c r="G255" s="32"/>
      <c r="H255" s="32"/>
      <c r="I255" s="32"/>
      <c r="K255" s="32"/>
      <c r="L255" s="32"/>
      <c r="M255" s="32"/>
      <c r="N255" s="37"/>
      <c r="O255" s="37"/>
      <c r="P255" s="37"/>
      <c r="Q255" s="37"/>
      <c r="X255" s="40"/>
      <c r="Y255" s="40"/>
      <c r="AB255" s="40"/>
      <c r="AC255" s="40"/>
      <c r="AD255" s="40"/>
      <c r="AE255" s="18"/>
      <c r="AF255" s="18"/>
      <c r="AG255" s="18"/>
      <c r="AH255" s="18"/>
      <c r="AI255" s="18"/>
      <c r="AJ255" s="18"/>
      <c r="AK255" s="18"/>
      <c r="AL255" s="42"/>
      <c r="AM255" s="42"/>
      <c r="AN255" s="42"/>
      <c r="AO255" s="42"/>
      <c r="AP255" s="42"/>
      <c r="AQ255" s="48"/>
      <c r="AR255" s="48"/>
      <c r="AS255" s="48"/>
      <c r="AT255" s="48"/>
      <c r="AU255" s="48"/>
      <c r="AV255" s="48"/>
      <c r="AW255" s="48"/>
      <c r="AX255" s="48"/>
      <c r="AY255" s="48"/>
      <c r="AZ255" s="48"/>
      <c r="BA255" s="48"/>
      <c r="BB255" s="48"/>
      <c r="BC255" s="48"/>
      <c r="BD255" s="48"/>
      <c r="BE255" s="62"/>
      <c r="BF255" s="40"/>
      <c r="BG255" s="54"/>
      <c r="BL255" s="40"/>
      <c r="BM255" s="40"/>
    </row>
    <row r="256" spans="7:65" x14ac:dyDescent="0.35">
      <c r="G256" s="32"/>
      <c r="H256" s="32"/>
      <c r="I256" s="32"/>
      <c r="K256" s="32"/>
      <c r="L256" s="32"/>
      <c r="M256" s="32"/>
      <c r="N256" s="37"/>
      <c r="O256" s="37"/>
      <c r="P256" s="37"/>
      <c r="Q256" s="37"/>
      <c r="X256" s="40"/>
      <c r="Y256" s="40"/>
      <c r="AB256" s="40"/>
      <c r="AC256" s="40"/>
      <c r="AD256" s="40"/>
      <c r="AE256" s="18"/>
      <c r="AF256" s="18"/>
      <c r="AG256" s="18"/>
      <c r="AH256" s="18"/>
      <c r="AI256" s="18"/>
      <c r="AJ256" s="18"/>
      <c r="AK256" s="18"/>
      <c r="AL256" s="42"/>
      <c r="AM256" s="42"/>
      <c r="AN256" s="42"/>
      <c r="AO256" s="42"/>
      <c r="AP256" s="42"/>
      <c r="AQ256" s="48"/>
      <c r="AR256" s="48"/>
      <c r="AS256" s="48"/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  <c r="BD256" s="48"/>
      <c r="BE256" s="62"/>
      <c r="BF256" s="40"/>
      <c r="BG256" s="54"/>
      <c r="BL256" s="40"/>
      <c r="BM256" s="40"/>
    </row>
    <row r="257" spans="7:65" x14ac:dyDescent="0.35">
      <c r="G257" s="32"/>
      <c r="H257" s="32"/>
      <c r="I257" s="32"/>
      <c r="K257" s="32"/>
      <c r="L257" s="32"/>
      <c r="M257" s="32"/>
      <c r="N257" s="37"/>
      <c r="O257" s="37"/>
      <c r="P257" s="37"/>
      <c r="Q257" s="37"/>
      <c r="X257" s="40"/>
      <c r="Y257" s="40"/>
      <c r="AB257" s="40"/>
      <c r="AC257" s="40"/>
      <c r="AD257" s="40"/>
      <c r="AE257" s="18"/>
      <c r="AF257" s="18"/>
      <c r="AG257" s="18"/>
      <c r="AH257" s="18"/>
      <c r="AI257" s="18"/>
      <c r="AJ257" s="18"/>
      <c r="AK257" s="18"/>
      <c r="AL257" s="42"/>
      <c r="AM257" s="42"/>
      <c r="AN257" s="42"/>
      <c r="AO257" s="42"/>
      <c r="AP257" s="42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62"/>
      <c r="BF257" s="40"/>
      <c r="BG257" s="54"/>
      <c r="BL257" s="40"/>
      <c r="BM257" s="40"/>
    </row>
    <row r="258" spans="7:65" x14ac:dyDescent="0.35">
      <c r="G258" s="32"/>
      <c r="H258" s="32"/>
      <c r="I258" s="32"/>
      <c r="K258" s="32"/>
      <c r="L258" s="32"/>
      <c r="M258" s="32"/>
      <c r="N258" s="37"/>
      <c r="O258" s="37"/>
      <c r="P258" s="37"/>
      <c r="Q258" s="37"/>
      <c r="X258" s="40"/>
      <c r="Y258" s="40"/>
      <c r="AB258" s="40"/>
      <c r="AC258" s="40"/>
      <c r="AD258" s="40"/>
      <c r="AE258" s="18"/>
      <c r="AF258" s="18"/>
      <c r="AG258" s="18"/>
      <c r="AH258" s="18"/>
      <c r="AI258" s="18"/>
      <c r="AJ258" s="18"/>
      <c r="AK258" s="18"/>
      <c r="AL258" s="42"/>
      <c r="AM258" s="42"/>
      <c r="AN258" s="42"/>
      <c r="AO258" s="42"/>
      <c r="AP258" s="42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62"/>
      <c r="BF258" s="40"/>
      <c r="BG258" s="54"/>
      <c r="BL258" s="40"/>
      <c r="BM258" s="40"/>
    </row>
    <row r="259" spans="7:65" x14ac:dyDescent="0.35">
      <c r="G259" s="32"/>
      <c r="H259" s="32"/>
      <c r="I259" s="32"/>
      <c r="K259" s="32"/>
      <c r="L259" s="32"/>
      <c r="M259" s="32"/>
      <c r="N259" s="37"/>
      <c r="O259" s="37"/>
      <c r="P259" s="37"/>
      <c r="Q259" s="37"/>
      <c r="X259" s="40"/>
      <c r="Y259" s="40"/>
      <c r="AB259" s="40"/>
      <c r="AC259" s="40"/>
      <c r="AD259" s="40"/>
      <c r="AE259" s="18"/>
      <c r="AF259" s="18"/>
      <c r="AG259" s="18"/>
      <c r="AH259" s="18"/>
      <c r="AI259" s="18"/>
      <c r="AJ259" s="18"/>
      <c r="AK259" s="18"/>
      <c r="AL259" s="42"/>
      <c r="AM259" s="42"/>
      <c r="AN259" s="42"/>
      <c r="AO259" s="42"/>
      <c r="AP259" s="42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62"/>
      <c r="BF259" s="40"/>
      <c r="BG259" s="54"/>
      <c r="BL259" s="40"/>
      <c r="BM259" s="40"/>
    </row>
    <row r="260" spans="7:65" x14ac:dyDescent="0.35">
      <c r="G260" s="32"/>
      <c r="H260" s="32"/>
      <c r="I260" s="32"/>
      <c r="K260" s="32"/>
      <c r="L260" s="32"/>
      <c r="M260" s="32"/>
      <c r="N260" s="37"/>
      <c r="O260" s="37"/>
      <c r="P260" s="37"/>
      <c r="Q260" s="37"/>
      <c r="X260" s="40"/>
      <c r="Y260" s="40"/>
      <c r="AB260" s="40"/>
      <c r="AC260" s="40"/>
      <c r="AD260" s="40"/>
      <c r="AE260" s="18"/>
      <c r="AF260" s="18"/>
      <c r="AG260" s="18"/>
      <c r="AH260" s="18"/>
      <c r="AI260" s="18"/>
      <c r="AJ260" s="18"/>
      <c r="AK260" s="18"/>
      <c r="AL260" s="42"/>
      <c r="AM260" s="42"/>
      <c r="AN260" s="42"/>
      <c r="AO260" s="42"/>
      <c r="AP260" s="42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62"/>
      <c r="BF260" s="40"/>
      <c r="BG260" s="54"/>
      <c r="BL260" s="40"/>
      <c r="BM260" s="40"/>
    </row>
    <row r="261" spans="7:65" x14ac:dyDescent="0.35">
      <c r="G261" s="32"/>
      <c r="H261" s="32"/>
      <c r="I261" s="32"/>
      <c r="K261" s="32"/>
      <c r="L261" s="32"/>
      <c r="M261" s="32"/>
      <c r="N261" s="37"/>
      <c r="O261" s="37"/>
      <c r="P261" s="37"/>
      <c r="Q261" s="37"/>
      <c r="X261" s="40"/>
      <c r="Y261" s="40"/>
      <c r="AB261" s="40"/>
      <c r="AC261" s="40"/>
      <c r="AD261" s="40"/>
      <c r="AE261" s="18"/>
      <c r="AF261" s="18"/>
      <c r="AG261" s="18"/>
      <c r="AH261" s="18"/>
      <c r="AI261" s="18"/>
      <c r="AJ261" s="18"/>
      <c r="AK261" s="18"/>
      <c r="AL261" s="42"/>
      <c r="AM261" s="42"/>
      <c r="AN261" s="42"/>
      <c r="AO261" s="42"/>
      <c r="AP261" s="42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62"/>
      <c r="BF261" s="40"/>
      <c r="BG261" s="54"/>
      <c r="BL261" s="40"/>
      <c r="BM261" s="40"/>
    </row>
    <row r="262" spans="7:65" x14ac:dyDescent="0.35">
      <c r="G262" s="32"/>
      <c r="H262" s="32"/>
      <c r="I262" s="32"/>
      <c r="K262" s="32"/>
      <c r="L262" s="32"/>
      <c r="M262" s="32"/>
      <c r="N262" s="37"/>
      <c r="O262" s="37"/>
      <c r="P262" s="37"/>
      <c r="Q262" s="37"/>
      <c r="X262" s="40"/>
      <c r="Y262" s="40"/>
      <c r="AB262" s="40"/>
      <c r="AC262" s="40"/>
      <c r="AD262" s="40"/>
      <c r="AE262" s="18"/>
      <c r="AF262" s="18"/>
      <c r="AG262" s="18"/>
      <c r="AH262" s="18"/>
      <c r="AI262" s="18"/>
      <c r="AJ262" s="18"/>
      <c r="AK262" s="18"/>
      <c r="AL262" s="42"/>
      <c r="AM262" s="42"/>
      <c r="AN262" s="42"/>
      <c r="AO262" s="42"/>
      <c r="AP262" s="42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0"/>
      <c r="BF262" s="40"/>
      <c r="BG262" s="54"/>
      <c r="BL262" s="40"/>
      <c r="BM262" s="40"/>
    </row>
    <row r="263" spans="7:65" x14ac:dyDescent="0.35">
      <c r="G263" s="32"/>
      <c r="H263" s="32"/>
      <c r="I263" s="32"/>
      <c r="K263" s="32"/>
      <c r="L263" s="32"/>
      <c r="M263" s="32"/>
      <c r="N263" s="37"/>
      <c r="O263" s="37"/>
      <c r="P263" s="37"/>
      <c r="Q263" s="37"/>
      <c r="X263" s="40"/>
      <c r="Y263" s="40"/>
      <c r="AB263" s="40"/>
      <c r="AC263" s="40"/>
      <c r="AD263" s="40"/>
      <c r="AE263" s="18"/>
      <c r="AF263" s="18"/>
      <c r="AG263" s="18"/>
      <c r="AH263" s="18"/>
      <c r="AI263" s="18"/>
      <c r="AJ263" s="18"/>
      <c r="AK263" s="18"/>
      <c r="AL263" s="42"/>
      <c r="AM263" s="42"/>
      <c r="AN263" s="42"/>
      <c r="AO263" s="42"/>
      <c r="AP263" s="42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0"/>
      <c r="BF263" s="40"/>
      <c r="BG263" s="54"/>
      <c r="BL263" s="40"/>
      <c r="BM263" s="40"/>
    </row>
    <row r="264" spans="7:65" x14ac:dyDescent="0.35">
      <c r="G264" s="32"/>
      <c r="H264" s="32"/>
      <c r="I264" s="32"/>
      <c r="K264" s="32"/>
      <c r="L264" s="32"/>
      <c r="M264" s="32"/>
      <c r="N264" s="37"/>
      <c r="O264" s="37"/>
      <c r="P264" s="37"/>
      <c r="Q264" s="37"/>
      <c r="X264" s="40"/>
      <c r="Y264" s="40"/>
      <c r="AB264" s="40"/>
      <c r="AC264" s="40"/>
      <c r="AD264" s="40"/>
      <c r="AE264" s="18"/>
      <c r="AF264" s="18"/>
      <c r="AG264" s="18"/>
      <c r="AH264" s="18"/>
      <c r="AI264" s="18"/>
      <c r="AJ264" s="18"/>
      <c r="AK264" s="18"/>
      <c r="AL264" s="42"/>
      <c r="AM264" s="42"/>
      <c r="AN264" s="42"/>
      <c r="AO264" s="42"/>
      <c r="AP264" s="42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0"/>
      <c r="BF264" s="40"/>
      <c r="BG264" s="54"/>
      <c r="BL264" s="40"/>
      <c r="BM264" s="40"/>
    </row>
    <row r="265" spans="7:65" x14ac:dyDescent="0.35">
      <c r="G265" s="32"/>
      <c r="H265" s="32"/>
      <c r="I265" s="32"/>
      <c r="K265" s="32"/>
      <c r="L265" s="32"/>
      <c r="M265" s="32"/>
      <c r="N265" s="37"/>
      <c r="O265" s="37"/>
      <c r="P265" s="37"/>
      <c r="Q265" s="37"/>
      <c r="X265" s="40"/>
      <c r="Y265" s="40"/>
      <c r="AB265" s="40"/>
      <c r="AC265" s="40"/>
      <c r="AD265" s="40"/>
      <c r="AE265" s="18"/>
      <c r="AF265" s="18"/>
      <c r="AG265" s="18"/>
      <c r="AH265" s="18"/>
      <c r="AI265" s="18"/>
      <c r="AJ265" s="18"/>
      <c r="AK265" s="18"/>
      <c r="AL265" s="42"/>
      <c r="AM265" s="42"/>
      <c r="AN265" s="42"/>
      <c r="AO265" s="42"/>
      <c r="AP265" s="42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0"/>
      <c r="BF265" s="40"/>
      <c r="BG265" s="54"/>
      <c r="BL265" s="40"/>
      <c r="BM265" s="40"/>
    </row>
    <row r="266" spans="7:65" x14ac:dyDescent="0.35">
      <c r="G266" s="32"/>
      <c r="H266" s="32"/>
      <c r="I266" s="32"/>
      <c r="K266" s="32"/>
      <c r="L266" s="32"/>
      <c r="M266" s="32"/>
      <c r="N266" s="37"/>
      <c r="O266" s="37"/>
      <c r="P266" s="37"/>
      <c r="Q266" s="37"/>
      <c r="X266" s="40"/>
      <c r="Y266" s="40"/>
      <c r="AB266" s="40"/>
      <c r="AC266" s="40"/>
      <c r="AD266" s="40"/>
      <c r="AE266" s="18"/>
      <c r="AF266" s="18"/>
      <c r="AG266" s="18"/>
      <c r="AH266" s="18"/>
      <c r="AI266" s="18"/>
      <c r="AJ266" s="18"/>
      <c r="AK266" s="18"/>
      <c r="AL266" s="42"/>
      <c r="AM266" s="42"/>
      <c r="AN266" s="42"/>
      <c r="AO266" s="42"/>
      <c r="AP266" s="42"/>
      <c r="AQ266" s="48"/>
      <c r="AR266" s="48"/>
      <c r="AS266" s="48"/>
      <c r="AT266" s="48"/>
      <c r="AU266" s="48"/>
      <c r="AV266" s="48"/>
      <c r="AW266" s="48"/>
      <c r="AX266" s="48"/>
      <c r="AY266" s="48"/>
      <c r="AZ266" s="48"/>
      <c r="BA266" s="48"/>
      <c r="BB266" s="48"/>
      <c r="BC266" s="48"/>
      <c r="BD266" s="48"/>
      <c r="BE266" s="40"/>
      <c r="BF266" s="40"/>
      <c r="BG266" s="54"/>
      <c r="BL266" s="40"/>
      <c r="BM266" s="40"/>
    </row>
    <row r="267" spans="7:65" x14ac:dyDescent="0.35">
      <c r="G267" s="32"/>
      <c r="H267" s="32"/>
      <c r="I267" s="32"/>
      <c r="K267" s="32"/>
      <c r="L267" s="32"/>
      <c r="M267" s="32"/>
      <c r="N267" s="37"/>
      <c r="O267" s="37"/>
      <c r="P267" s="37"/>
      <c r="Q267" s="37"/>
      <c r="X267" s="40"/>
      <c r="Y267" s="40"/>
      <c r="AB267" s="40"/>
      <c r="AC267" s="40"/>
      <c r="AD267" s="40"/>
      <c r="AE267" s="18"/>
      <c r="AF267" s="18"/>
      <c r="AG267" s="18"/>
      <c r="AH267" s="18"/>
      <c r="AI267" s="18"/>
      <c r="AJ267" s="18"/>
      <c r="AK267" s="18"/>
      <c r="AL267" s="42"/>
      <c r="AM267" s="42"/>
      <c r="AN267" s="42"/>
      <c r="AO267" s="42"/>
      <c r="AP267" s="42"/>
      <c r="AQ267" s="48"/>
      <c r="AR267" s="48"/>
      <c r="AS267" s="48"/>
      <c r="AT267" s="48"/>
      <c r="AU267" s="48"/>
      <c r="AV267" s="48"/>
      <c r="AW267" s="48"/>
      <c r="AX267" s="48"/>
      <c r="AY267" s="48"/>
      <c r="AZ267" s="48"/>
      <c r="BA267" s="48"/>
      <c r="BB267" s="48"/>
      <c r="BC267" s="48"/>
      <c r="BD267" s="48"/>
      <c r="BE267" s="40"/>
      <c r="BF267" s="40"/>
      <c r="BG267" s="54"/>
      <c r="BL267" s="40"/>
      <c r="BM267" s="40"/>
    </row>
    <row r="268" spans="7:65" x14ac:dyDescent="0.35">
      <c r="G268" s="32"/>
      <c r="H268" s="32"/>
      <c r="I268" s="32"/>
      <c r="K268" s="32"/>
      <c r="L268" s="32"/>
      <c r="M268" s="32"/>
      <c r="N268" s="37"/>
      <c r="O268" s="37"/>
      <c r="P268" s="37"/>
      <c r="Q268" s="37"/>
      <c r="X268" s="40"/>
      <c r="Y268" s="40"/>
      <c r="AB268" s="40"/>
      <c r="AC268" s="40"/>
      <c r="AD268" s="40"/>
      <c r="AE268" s="18"/>
      <c r="AF268" s="18"/>
      <c r="AG268" s="18"/>
      <c r="AH268" s="18"/>
      <c r="AI268" s="18"/>
      <c r="AJ268" s="18"/>
      <c r="AK268" s="18"/>
      <c r="AL268" s="42"/>
      <c r="AM268" s="42"/>
      <c r="AN268" s="42"/>
      <c r="AO268" s="42"/>
      <c r="AP268" s="42"/>
      <c r="AQ268" s="48"/>
      <c r="AR268" s="48"/>
      <c r="AS268" s="48"/>
      <c r="AT268" s="48"/>
      <c r="AU268" s="48"/>
      <c r="AV268" s="48"/>
      <c r="AW268" s="48"/>
      <c r="AX268" s="48"/>
      <c r="AY268" s="48"/>
      <c r="AZ268" s="48"/>
      <c r="BA268" s="48"/>
      <c r="BB268" s="48"/>
      <c r="BC268" s="48"/>
      <c r="BD268" s="48"/>
      <c r="BE268" s="40"/>
      <c r="BF268" s="40"/>
      <c r="BG268" s="54"/>
      <c r="BL268" s="40"/>
      <c r="BM268" s="40"/>
    </row>
    <row r="269" spans="7:65" x14ac:dyDescent="0.35">
      <c r="G269" s="32"/>
      <c r="H269" s="32"/>
      <c r="I269" s="32"/>
      <c r="K269" s="32"/>
      <c r="L269" s="32"/>
      <c r="M269" s="32"/>
      <c r="N269" s="37"/>
      <c r="O269" s="37"/>
      <c r="P269" s="37"/>
      <c r="Q269" s="37"/>
      <c r="X269" s="40"/>
      <c r="Y269" s="40"/>
      <c r="AB269" s="40"/>
      <c r="AC269" s="40"/>
      <c r="AD269" s="40"/>
      <c r="AE269" s="18"/>
      <c r="AF269" s="18"/>
      <c r="AG269" s="18"/>
      <c r="AH269" s="18"/>
      <c r="AI269" s="18"/>
      <c r="AJ269" s="18"/>
      <c r="AK269" s="18"/>
      <c r="AL269" s="42"/>
      <c r="AM269" s="42"/>
      <c r="AN269" s="42"/>
      <c r="AO269" s="42"/>
      <c r="AP269" s="42"/>
      <c r="AQ269" s="48"/>
      <c r="AR269" s="48"/>
      <c r="AS269" s="48"/>
      <c r="AT269" s="48"/>
      <c r="AU269" s="48"/>
      <c r="AV269" s="48"/>
      <c r="AW269" s="48"/>
      <c r="AX269" s="48"/>
      <c r="AY269" s="48"/>
      <c r="AZ269" s="48"/>
      <c r="BA269" s="48"/>
      <c r="BB269" s="48"/>
      <c r="BC269" s="48"/>
      <c r="BD269" s="48"/>
      <c r="BE269" s="40"/>
      <c r="BF269" s="40"/>
      <c r="BG269" s="54"/>
      <c r="BL269" s="40"/>
      <c r="BM269" s="40"/>
    </row>
    <row r="270" spans="7:65" x14ac:dyDescent="0.35">
      <c r="G270" s="32"/>
      <c r="H270" s="32"/>
      <c r="I270" s="32"/>
      <c r="K270" s="32"/>
      <c r="L270" s="32"/>
      <c r="M270" s="32"/>
      <c r="N270" s="37"/>
      <c r="O270" s="37"/>
      <c r="P270" s="37"/>
      <c r="Q270" s="37"/>
      <c r="X270" s="40"/>
      <c r="Y270" s="40"/>
      <c r="AB270" s="40"/>
      <c r="AC270" s="40"/>
      <c r="AD270" s="40"/>
      <c r="AE270" s="18"/>
      <c r="AF270" s="18"/>
      <c r="AG270" s="18"/>
      <c r="AH270" s="18"/>
      <c r="AI270" s="18"/>
      <c r="AJ270" s="18"/>
      <c r="AK270" s="18"/>
      <c r="AL270" s="42"/>
      <c r="AM270" s="42"/>
      <c r="AN270" s="42"/>
      <c r="AO270" s="42"/>
      <c r="AP270" s="42"/>
      <c r="AQ270" s="48"/>
      <c r="AR270" s="48"/>
      <c r="AS270" s="48"/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  <c r="BD270" s="48"/>
      <c r="BE270" s="40"/>
      <c r="BF270" s="40"/>
      <c r="BG270" s="54"/>
      <c r="BL270" s="40"/>
      <c r="BM270" s="40"/>
    </row>
    <row r="271" spans="7:65" x14ac:dyDescent="0.35">
      <c r="G271" s="32"/>
      <c r="H271" s="32"/>
      <c r="I271" s="32"/>
      <c r="K271" s="32"/>
      <c r="L271" s="32"/>
      <c r="M271" s="32"/>
      <c r="N271" s="37"/>
      <c r="O271" s="37"/>
      <c r="P271" s="37"/>
      <c r="Q271" s="37"/>
      <c r="X271" s="40"/>
      <c r="Y271" s="40"/>
      <c r="AB271" s="40"/>
      <c r="AC271" s="40"/>
      <c r="AD271" s="40"/>
      <c r="AE271" s="18"/>
      <c r="AF271" s="18"/>
      <c r="AG271" s="18"/>
      <c r="AH271" s="18"/>
      <c r="AI271" s="18"/>
      <c r="AJ271" s="18"/>
      <c r="AK271" s="18"/>
      <c r="AL271" s="42"/>
      <c r="AM271" s="42"/>
      <c r="AN271" s="42"/>
      <c r="AO271" s="42"/>
      <c r="AP271" s="42"/>
      <c r="AQ271" s="48"/>
      <c r="AR271" s="48"/>
      <c r="AS271" s="48"/>
      <c r="AT271" s="48"/>
      <c r="AU271" s="48"/>
      <c r="AV271" s="48"/>
      <c r="AW271" s="48"/>
      <c r="AX271" s="48"/>
      <c r="AY271" s="48"/>
      <c r="AZ271" s="48"/>
      <c r="BA271" s="48"/>
      <c r="BB271" s="48"/>
      <c r="BC271" s="48"/>
      <c r="BD271" s="48"/>
      <c r="BE271" s="40"/>
      <c r="BF271" s="40"/>
      <c r="BG271" s="54"/>
      <c r="BL271" s="40"/>
      <c r="BM271" s="40"/>
    </row>
    <row r="272" spans="7:65" x14ac:dyDescent="0.35">
      <c r="G272" s="32"/>
      <c r="H272" s="32"/>
      <c r="I272" s="32"/>
      <c r="K272" s="32"/>
      <c r="L272" s="32"/>
      <c r="M272" s="32"/>
      <c r="N272" s="37"/>
      <c r="O272" s="37"/>
      <c r="P272" s="37"/>
      <c r="Q272" s="37"/>
      <c r="X272" s="40"/>
      <c r="Y272" s="40"/>
      <c r="AB272" s="40"/>
      <c r="AC272" s="40"/>
      <c r="AD272" s="40"/>
      <c r="AE272" s="18"/>
      <c r="AF272" s="18"/>
      <c r="AG272" s="18"/>
      <c r="AH272" s="18"/>
      <c r="AI272" s="18"/>
      <c r="AJ272" s="18"/>
      <c r="AK272" s="18"/>
      <c r="AL272" s="42"/>
      <c r="AM272" s="42"/>
      <c r="AN272" s="42"/>
      <c r="AO272" s="42"/>
      <c r="AP272" s="42"/>
      <c r="AQ272" s="48"/>
      <c r="AR272" s="48"/>
      <c r="AS272" s="48"/>
      <c r="AT272" s="48"/>
      <c r="AU272" s="48"/>
      <c r="AV272" s="48"/>
      <c r="AW272" s="48"/>
      <c r="AX272" s="48"/>
      <c r="AY272" s="48"/>
      <c r="AZ272" s="48"/>
      <c r="BA272" s="48"/>
      <c r="BB272" s="48"/>
      <c r="BC272" s="48"/>
      <c r="BD272" s="48"/>
      <c r="BE272" s="40"/>
      <c r="BF272" s="40"/>
      <c r="BG272" s="54"/>
      <c r="BL272" s="40"/>
      <c r="BM272" s="40"/>
    </row>
    <row r="273" spans="7:65" x14ac:dyDescent="0.35">
      <c r="G273" s="32"/>
      <c r="H273" s="32"/>
      <c r="I273" s="32"/>
      <c r="K273" s="32"/>
      <c r="L273" s="32"/>
      <c r="M273" s="32"/>
      <c r="N273" s="37"/>
      <c r="O273" s="37"/>
      <c r="P273" s="37"/>
      <c r="Q273" s="37"/>
      <c r="X273" s="40"/>
      <c r="Y273" s="40"/>
      <c r="AB273" s="40"/>
      <c r="AC273" s="40"/>
      <c r="AD273" s="40"/>
      <c r="AE273" s="18"/>
      <c r="AF273" s="18"/>
      <c r="AG273" s="18"/>
      <c r="AH273" s="18"/>
      <c r="AI273" s="18"/>
      <c r="AJ273" s="18"/>
      <c r="AK273" s="18"/>
      <c r="AL273" s="42"/>
      <c r="AM273" s="42"/>
      <c r="AN273" s="42"/>
      <c r="AO273" s="42"/>
      <c r="AP273" s="42"/>
      <c r="AQ273" s="48"/>
      <c r="AR273" s="48"/>
      <c r="AS273" s="48"/>
      <c r="AT273" s="48"/>
      <c r="AU273" s="48"/>
      <c r="AV273" s="48"/>
      <c r="AW273" s="48"/>
      <c r="AX273" s="48"/>
      <c r="AY273" s="48"/>
      <c r="AZ273" s="48"/>
      <c r="BA273" s="48"/>
      <c r="BB273" s="48"/>
      <c r="BC273" s="48"/>
      <c r="BD273" s="48"/>
      <c r="BE273" s="40"/>
      <c r="BF273" s="40"/>
      <c r="BG273" s="54"/>
      <c r="BL273" s="40"/>
      <c r="BM273" s="40"/>
    </row>
    <row r="274" spans="7:65" x14ac:dyDescent="0.35">
      <c r="G274" s="32"/>
      <c r="H274" s="32"/>
      <c r="I274" s="32"/>
      <c r="K274" s="32"/>
      <c r="L274" s="32"/>
      <c r="M274" s="32"/>
      <c r="N274" s="37"/>
      <c r="O274" s="37"/>
      <c r="P274" s="37"/>
      <c r="Q274" s="37"/>
      <c r="X274" s="40"/>
      <c r="Y274" s="40"/>
      <c r="AB274" s="40"/>
      <c r="AC274" s="40"/>
      <c r="AD274" s="40"/>
      <c r="AE274" s="18"/>
      <c r="AF274" s="18"/>
      <c r="AG274" s="18"/>
      <c r="AH274" s="18"/>
      <c r="AI274" s="18"/>
      <c r="AJ274" s="18"/>
      <c r="AK274" s="1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8"/>
      <c r="AV274" s="48"/>
      <c r="AW274" s="48"/>
      <c r="AX274" s="48"/>
      <c r="AY274" s="48"/>
      <c r="AZ274" s="48"/>
      <c r="BA274" s="48"/>
      <c r="BB274" s="48"/>
      <c r="BC274" s="48"/>
      <c r="BD274" s="48"/>
      <c r="BE274" s="40"/>
      <c r="BF274" s="40"/>
      <c r="BG274" s="54"/>
      <c r="BL274" s="40"/>
      <c r="BM274" s="40"/>
    </row>
    <row r="275" spans="7:65" x14ac:dyDescent="0.35">
      <c r="G275" s="32"/>
      <c r="H275" s="32"/>
      <c r="I275" s="32"/>
      <c r="K275" s="32"/>
      <c r="L275" s="32"/>
      <c r="M275" s="32"/>
      <c r="N275" s="37"/>
      <c r="O275" s="37"/>
      <c r="P275" s="37"/>
      <c r="Q275" s="37"/>
      <c r="X275" s="40"/>
      <c r="Y275" s="40"/>
      <c r="AB275" s="40"/>
      <c r="AC275" s="40"/>
      <c r="AD275" s="40"/>
      <c r="AE275" s="18"/>
      <c r="AF275" s="18"/>
      <c r="AG275" s="18"/>
      <c r="AH275" s="18"/>
      <c r="AI275" s="18"/>
      <c r="AJ275" s="18"/>
      <c r="AK275" s="18"/>
      <c r="AL275" s="48"/>
      <c r="AM275" s="48"/>
      <c r="AN275" s="48"/>
      <c r="AO275" s="48"/>
      <c r="AP275" s="48"/>
      <c r="AQ275" s="48"/>
      <c r="AR275" s="48"/>
      <c r="AS275" s="48"/>
      <c r="AT275" s="48"/>
      <c r="AU275" s="48"/>
      <c r="AV275" s="48"/>
      <c r="AW275" s="48"/>
      <c r="AX275" s="48"/>
      <c r="AY275" s="48"/>
      <c r="AZ275" s="48"/>
      <c r="BA275" s="48"/>
      <c r="BB275" s="48"/>
      <c r="BC275" s="48"/>
      <c r="BD275" s="48"/>
      <c r="BE275" s="40"/>
      <c r="BF275" s="40"/>
      <c r="BG275" s="54"/>
      <c r="BL275" s="40"/>
      <c r="BM275" s="40"/>
    </row>
    <row r="276" spans="7:65" x14ac:dyDescent="0.35">
      <c r="G276" s="32"/>
      <c r="H276" s="32"/>
      <c r="I276" s="32"/>
      <c r="K276" s="32"/>
      <c r="L276" s="32"/>
      <c r="M276" s="32"/>
      <c r="N276" s="37"/>
      <c r="O276" s="37"/>
      <c r="P276" s="37"/>
      <c r="Q276" s="37"/>
      <c r="X276" s="40"/>
      <c r="Y276" s="40"/>
      <c r="AB276" s="40"/>
      <c r="AC276" s="40"/>
      <c r="AD276" s="40"/>
      <c r="AE276" s="18"/>
      <c r="AF276" s="18"/>
      <c r="AG276" s="18"/>
      <c r="AH276" s="18"/>
      <c r="AI276" s="18"/>
      <c r="AJ276" s="18"/>
      <c r="AK276" s="18"/>
      <c r="AL276" s="48"/>
      <c r="AM276" s="48"/>
      <c r="AN276" s="48"/>
      <c r="AO276" s="48"/>
      <c r="AP276" s="48"/>
      <c r="AQ276" s="48"/>
      <c r="AR276" s="48"/>
      <c r="AS276" s="48"/>
      <c r="AT276" s="48"/>
      <c r="AU276" s="48"/>
      <c r="AV276" s="48"/>
      <c r="AW276" s="48"/>
      <c r="AX276" s="48"/>
      <c r="AY276" s="48"/>
      <c r="AZ276" s="48"/>
      <c r="BA276" s="48"/>
      <c r="BB276" s="48"/>
      <c r="BC276" s="48"/>
      <c r="BD276" s="48"/>
      <c r="BE276" s="40"/>
      <c r="BF276" s="40"/>
      <c r="BG276" s="54"/>
      <c r="BH276" s="62"/>
      <c r="BI276" s="62"/>
      <c r="BJ276" s="62"/>
      <c r="BL276" s="40"/>
      <c r="BM276" s="40"/>
    </row>
    <row r="277" spans="7:65" x14ac:dyDescent="0.35">
      <c r="G277" s="32"/>
      <c r="H277" s="32"/>
      <c r="I277" s="32"/>
      <c r="K277" s="32"/>
      <c r="L277" s="32"/>
      <c r="M277" s="32"/>
      <c r="N277" s="37"/>
      <c r="O277" s="37"/>
      <c r="P277" s="37"/>
      <c r="Q277" s="37"/>
      <c r="X277" s="40"/>
      <c r="Y277" s="40"/>
      <c r="AB277" s="40"/>
      <c r="AC277" s="40"/>
      <c r="AD277" s="40"/>
      <c r="AE277" s="18"/>
      <c r="AF277" s="18"/>
      <c r="AG277" s="18"/>
      <c r="AH277" s="18"/>
      <c r="AI277" s="18"/>
      <c r="AJ277" s="18"/>
      <c r="AK277" s="18"/>
      <c r="AL277" s="48"/>
      <c r="AM277" s="48"/>
      <c r="AN277" s="48"/>
      <c r="AO277" s="48"/>
      <c r="AP277" s="48"/>
      <c r="AQ277" s="48"/>
      <c r="AR277" s="48"/>
      <c r="AS277" s="48"/>
      <c r="AT277" s="48"/>
      <c r="AU277" s="48"/>
      <c r="AV277" s="48"/>
      <c r="AW277" s="48"/>
      <c r="AX277" s="48"/>
      <c r="AY277" s="48"/>
      <c r="AZ277" s="48"/>
      <c r="BA277" s="48"/>
      <c r="BB277" s="48"/>
      <c r="BC277" s="48"/>
      <c r="BD277" s="48"/>
      <c r="BE277" s="40"/>
      <c r="BF277" s="40"/>
      <c r="BG277" s="54"/>
      <c r="BL277" s="40"/>
      <c r="BM277" s="40"/>
    </row>
    <row r="278" spans="7:65" x14ac:dyDescent="0.35">
      <c r="G278" s="32"/>
      <c r="H278" s="32"/>
      <c r="I278" s="32"/>
      <c r="K278" s="32"/>
      <c r="L278" s="32"/>
      <c r="M278" s="32"/>
      <c r="N278" s="37"/>
      <c r="O278" s="37"/>
      <c r="P278" s="37"/>
      <c r="Q278" s="37"/>
      <c r="X278" s="40"/>
      <c r="Y278" s="40"/>
      <c r="AB278" s="40"/>
      <c r="AC278" s="40"/>
      <c r="AD278" s="40"/>
      <c r="AE278" s="18"/>
      <c r="AF278" s="18"/>
      <c r="AG278" s="18"/>
      <c r="AH278" s="18"/>
      <c r="AI278" s="18"/>
      <c r="AJ278" s="18"/>
      <c r="AK278" s="18"/>
      <c r="AL278" s="48"/>
      <c r="AM278" s="48"/>
      <c r="AN278" s="48"/>
      <c r="AO278" s="48"/>
      <c r="AP278" s="48"/>
      <c r="AQ278" s="48"/>
      <c r="AR278" s="48"/>
      <c r="AS278" s="48"/>
      <c r="AT278" s="48"/>
      <c r="AU278" s="48"/>
      <c r="AV278" s="48"/>
      <c r="AW278" s="48"/>
      <c r="AX278" s="48"/>
      <c r="AY278" s="48"/>
      <c r="AZ278" s="48"/>
      <c r="BA278" s="48"/>
      <c r="BB278" s="48"/>
      <c r="BC278" s="48"/>
      <c r="BD278" s="48"/>
      <c r="BE278" s="40"/>
      <c r="BF278" s="40"/>
      <c r="BG278" s="54"/>
      <c r="BL278" s="40"/>
      <c r="BM278" s="40"/>
    </row>
    <row r="279" spans="7:65" x14ac:dyDescent="0.35">
      <c r="G279" s="32"/>
      <c r="H279" s="32"/>
      <c r="I279" s="32"/>
      <c r="K279" s="32"/>
      <c r="L279" s="32"/>
      <c r="M279" s="32"/>
      <c r="N279" s="37"/>
      <c r="O279" s="37"/>
      <c r="P279" s="37"/>
      <c r="Q279" s="37"/>
      <c r="X279" s="40"/>
      <c r="Y279" s="40"/>
      <c r="AB279" s="40"/>
      <c r="AC279" s="40"/>
      <c r="AD279" s="40"/>
      <c r="AE279" s="18"/>
      <c r="AF279" s="18"/>
      <c r="AG279" s="18"/>
      <c r="AH279" s="18"/>
      <c r="AI279" s="18"/>
      <c r="AJ279" s="18"/>
      <c r="AK279" s="18"/>
      <c r="AL279" s="48"/>
      <c r="AM279" s="48"/>
      <c r="AN279" s="48"/>
      <c r="AO279" s="48"/>
      <c r="AP279" s="48"/>
      <c r="AQ279" s="48"/>
      <c r="AR279" s="48"/>
      <c r="AS279" s="48"/>
      <c r="AT279" s="48"/>
      <c r="AU279" s="48"/>
      <c r="AV279" s="48"/>
      <c r="AW279" s="48"/>
      <c r="AX279" s="48"/>
      <c r="AY279" s="48"/>
      <c r="AZ279" s="48"/>
      <c r="BA279" s="48"/>
      <c r="BB279" s="48"/>
      <c r="BC279" s="48"/>
      <c r="BD279" s="48"/>
      <c r="BE279" s="40"/>
      <c r="BF279" s="40"/>
      <c r="BG279" s="54"/>
      <c r="BL279" s="40"/>
      <c r="BM279" s="40"/>
    </row>
    <row r="280" spans="7:65" x14ac:dyDescent="0.35">
      <c r="G280" s="32"/>
      <c r="H280" s="32"/>
      <c r="I280" s="32"/>
      <c r="K280" s="32"/>
      <c r="L280" s="32"/>
      <c r="M280" s="32"/>
      <c r="N280" s="37"/>
      <c r="O280" s="37"/>
      <c r="P280" s="37"/>
      <c r="Q280" s="37"/>
      <c r="X280" s="40"/>
      <c r="Y280" s="40"/>
      <c r="AB280" s="40"/>
      <c r="AC280" s="40"/>
      <c r="AD280" s="40"/>
      <c r="AE280" s="18"/>
      <c r="AF280" s="18"/>
      <c r="AG280" s="18"/>
      <c r="AH280" s="18"/>
      <c r="AI280" s="18"/>
      <c r="AJ280" s="18"/>
      <c r="AK280" s="18"/>
      <c r="AL280" s="48"/>
      <c r="AM280" s="48"/>
      <c r="AN280" s="48"/>
      <c r="AO280" s="48"/>
      <c r="AP280" s="48"/>
      <c r="AQ280" s="48"/>
      <c r="AR280" s="48"/>
      <c r="AS280" s="48"/>
      <c r="AT280" s="48"/>
      <c r="AU280" s="48"/>
      <c r="AV280" s="48"/>
      <c r="AW280" s="48"/>
      <c r="AX280" s="48"/>
      <c r="AY280" s="48"/>
      <c r="AZ280" s="48"/>
      <c r="BA280" s="48"/>
      <c r="BB280" s="48"/>
      <c r="BC280" s="48"/>
      <c r="BD280" s="48"/>
      <c r="BE280" s="40"/>
      <c r="BF280" s="40"/>
      <c r="BG280" s="54"/>
      <c r="BL280" s="40"/>
      <c r="BM280" s="40"/>
    </row>
    <row r="281" spans="7:65" x14ac:dyDescent="0.35">
      <c r="G281" s="32"/>
      <c r="H281" s="32"/>
      <c r="I281" s="32"/>
      <c r="K281" s="32"/>
      <c r="L281" s="32"/>
      <c r="M281" s="32"/>
      <c r="N281" s="37"/>
      <c r="O281" s="37"/>
      <c r="P281" s="37"/>
      <c r="Q281" s="37"/>
      <c r="X281" s="40"/>
      <c r="Y281" s="40"/>
      <c r="AB281" s="40"/>
      <c r="AC281" s="40"/>
      <c r="AD281" s="40"/>
      <c r="AE281" s="18"/>
      <c r="AF281" s="18"/>
      <c r="AG281" s="18"/>
      <c r="AH281" s="18"/>
      <c r="AI281" s="18"/>
      <c r="AJ281" s="18"/>
      <c r="AK281" s="18"/>
      <c r="AL281" s="48"/>
      <c r="AM281" s="48"/>
      <c r="AN281" s="48"/>
      <c r="AO281" s="48"/>
      <c r="AP281" s="48"/>
      <c r="AQ281" s="48"/>
      <c r="AR281" s="48"/>
      <c r="AS281" s="48"/>
      <c r="AT281" s="48"/>
      <c r="AU281" s="48"/>
      <c r="AV281" s="48"/>
      <c r="AW281" s="48"/>
      <c r="AX281" s="48"/>
      <c r="AY281" s="48"/>
      <c r="AZ281" s="48"/>
      <c r="BA281" s="48"/>
      <c r="BB281" s="48"/>
      <c r="BC281" s="48"/>
      <c r="BD281" s="48"/>
      <c r="BE281" s="40"/>
      <c r="BF281" s="40"/>
      <c r="BG281" s="54"/>
      <c r="BL281" s="40"/>
      <c r="BM281" s="40"/>
    </row>
    <row r="282" spans="7:65" x14ac:dyDescent="0.35">
      <c r="G282" s="32"/>
      <c r="H282" s="32"/>
      <c r="I282" s="32"/>
      <c r="K282" s="32"/>
      <c r="L282" s="32"/>
      <c r="M282" s="32"/>
      <c r="N282" s="37"/>
      <c r="O282" s="37"/>
      <c r="P282" s="37"/>
      <c r="Q282" s="37"/>
      <c r="X282" s="40"/>
      <c r="Y282" s="40"/>
      <c r="AB282" s="40"/>
      <c r="AC282" s="40"/>
      <c r="AD282" s="40"/>
      <c r="AE282" s="18"/>
      <c r="AF282" s="18"/>
      <c r="AG282" s="18"/>
      <c r="AH282" s="18"/>
      <c r="AI282" s="18"/>
      <c r="AJ282" s="18"/>
      <c r="AK282" s="18"/>
      <c r="AL282" s="48"/>
      <c r="AM282" s="48"/>
      <c r="AN282" s="48"/>
      <c r="AO282" s="48"/>
      <c r="AP282" s="48"/>
      <c r="AQ282" s="48"/>
      <c r="AR282" s="48"/>
      <c r="AS282" s="48"/>
      <c r="AT282" s="48"/>
      <c r="AU282" s="48"/>
      <c r="AV282" s="48"/>
      <c r="AW282" s="48"/>
      <c r="AX282" s="48"/>
      <c r="AY282" s="48"/>
      <c r="AZ282" s="48"/>
      <c r="BA282" s="48"/>
      <c r="BB282" s="48"/>
      <c r="BC282" s="48"/>
      <c r="BD282" s="48"/>
      <c r="BE282" s="40"/>
      <c r="BF282" s="40"/>
      <c r="BG282" s="54"/>
      <c r="BL282" s="40"/>
      <c r="BM282" s="40"/>
    </row>
    <row r="283" spans="7:65" x14ac:dyDescent="0.35">
      <c r="X283" s="40"/>
      <c r="Y283" s="40"/>
      <c r="AB283" s="40"/>
      <c r="AC283" s="40"/>
      <c r="AD283" s="40"/>
      <c r="AE283" s="18"/>
      <c r="AF283" s="18"/>
      <c r="AG283" s="18"/>
      <c r="AH283" s="18"/>
      <c r="AI283" s="18"/>
      <c r="AJ283" s="18"/>
      <c r="AK283" s="1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  <c r="AW283" s="48"/>
      <c r="AX283" s="48"/>
      <c r="AY283" s="48"/>
      <c r="AZ283" s="48"/>
      <c r="BA283" s="48"/>
      <c r="BB283" s="48"/>
      <c r="BC283" s="48"/>
      <c r="BD283" s="48"/>
      <c r="BE283" s="40"/>
      <c r="BF283" s="40"/>
      <c r="BG283" s="54"/>
      <c r="BL283" s="40"/>
      <c r="BM283" s="40"/>
    </row>
    <row r="284" spans="7:65" x14ac:dyDescent="0.35">
      <c r="G284" s="32"/>
      <c r="H284" s="32"/>
      <c r="I284" s="32"/>
      <c r="K284" s="32"/>
      <c r="L284" s="32"/>
      <c r="M284" s="32"/>
      <c r="N284" s="37"/>
      <c r="O284" s="37"/>
      <c r="P284" s="37"/>
      <c r="Q284" s="37"/>
      <c r="X284" s="40"/>
      <c r="Y284" s="40"/>
      <c r="AB284" s="40"/>
      <c r="AC284" s="40"/>
      <c r="AD284" s="40"/>
      <c r="AE284" s="18"/>
      <c r="AF284" s="18"/>
      <c r="AG284" s="18"/>
      <c r="AH284" s="18"/>
      <c r="AI284" s="18"/>
      <c r="AJ284" s="18"/>
      <c r="AK284" s="18"/>
      <c r="AL284" s="48"/>
      <c r="AM284" s="48"/>
      <c r="AN284" s="48"/>
      <c r="AO284" s="48"/>
      <c r="AP284" s="48"/>
      <c r="AQ284" s="48"/>
      <c r="AR284" s="48"/>
      <c r="AS284" s="48"/>
      <c r="AT284" s="48"/>
      <c r="AU284" s="48"/>
      <c r="AV284" s="48"/>
      <c r="AW284" s="48"/>
      <c r="AX284" s="48"/>
      <c r="AY284" s="48"/>
      <c r="AZ284" s="48"/>
      <c r="BA284" s="48"/>
      <c r="BB284" s="48"/>
      <c r="BC284" s="48"/>
      <c r="BD284" s="48"/>
      <c r="BE284" s="40"/>
      <c r="BF284" s="40"/>
      <c r="BG284" s="54"/>
      <c r="BL284" s="40"/>
      <c r="BM284" s="40"/>
    </row>
    <row r="285" spans="7:65" x14ac:dyDescent="0.35">
      <c r="G285" s="32"/>
      <c r="H285" s="32"/>
      <c r="I285" s="32"/>
      <c r="K285" s="32"/>
      <c r="L285" s="32"/>
      <c r="M285" s="32"/>
      <c r="N285" s="37"/>
      <c r="O285" s="37"/>
      <c r="P285" s="37"/>
      <c r="Q285" s="37"/>
      <c r="X285" s="40"/>
      <c r="Y285" s="40"/>
      <c r="AB285" s="40"/>
      <c r="AC285" s="40"/>
      <c r="AD285" s="40"/>
      <c r="AE285" s="18"/>
      <c r="AF285" s="18"/>
      <c r="AG285" s="18"/>
      <c r="AH285" s="18"/>
      <c r="AI285" s="18"/>
      <c r="AJ285" s="18"/>
      <c r="AK285" s="18"/>
      <c r="AL285" s="48"/>
      <c r="AM285" s="48"/>
      <c r="AN285" s="48"/>
      <c r="AO285" s="48"/>
      <c r="AP285" s="48"/>
      <c r="AQ285" s="48"/>
      <c r="AR285" s="48"/>
      <c r="AS285" s="48"/>
      <c r="AT285" s="48"/>
      <c r="AU285" s="48"/>
      <c r="AV285" s="48"/>
      <c r="AW285" s="48"/>
      <c r="AX285" s="48"/>
      <c r="AY285" s="48"/>
      <c r="AZ285" s="48"/>
      <c r="BA285" s="48"/>
      <c r="BB285" s="48"/>
      <c r="BC285" s="48"/>
      <c r="BD285" s="48"/>
      <c r="BE285" s="40"/>
      <c r="BF285" s="40"/>
      <c r="BG285" s="54"/>
      <c r="BL285" s="40"/>
      <c r="BM285" s="40"/>
    </row>
    <row r="286" spans="7:65" x14ac:dyDescent="0.35">
      <c r="G286" s="32"/>
      <c r="H286" s="32"/>
      <c r="I286" s="32"/>
      <c r="K286" s="32"/>
      <c r="L286" s="32"/>
      <c r="M286" s="32"/>
      <c r="N286" s="37"/>
      <c r="O286" s="37"/>
      <c r="P286" s="37"/>
      <c r="Q286" s="37"/>
      <c r="X286" s="40"/>
      <c r="Y286" s="40"/>
      <c r="AB286" s="40"/>
      <c r="AC286" s="40"/>
      <c r="AD286" s="40"/>
      <c r="AE286" s="18"/>
      <c r="AF286" s="18"/>
      <c r="AG286" s="18"/>
      <c r="AH286" s="18"/>
      <c r="AI286" s="18"/>
      <c r="AJ286" s="18"/>
      <c r="AK286" s="18"/>
      <c r="AL286" s="48"/>
      <c r="AM286" s="48"/>
      <c r="AN286" s="48"/>
      <c r="AO286" s="48"/>
      <c r="AP286" s="48"/>
      <c r="AQ286" s="48"/>
      <c r="AR286" s="48"/>
      <c r="AS286" s="48"/>
      <c r="AT286" s="48"/>
      <c r="AU286" s="48"/>
      <c r="AV286" s="48"/>
      <c r="AW286" s="48"/>
      <c r="AX286" s="48"/>
      <c r="AY286" s="48"/>
      <c r="AZ286" s="48"/>
      <c r="BA286" s="48"/>
      <c r="BB286" s="48"/>
      <c r="BC286" s="48"/>
      <c r="BD286" s="48"/>
      <c r="BE286" s="40"/>
      <c r="BF286" s="40"/>
      <c r="BG286" s="54"/>
      <c r="BL286" s="40"/>
      <c r="BM286" s="40"/>
    </row>
    <row r="287" spans="7:65" x14ac:dyDescent="0.35">
      <c r="G287" s="32"/>
      <c r="H287" s="32"/>
      <c r="I287" s="32"/>
      <c r="K287" s="32"/>
      <c r="L287" s="32"/>
      <c r="M287" s="32"/>
      <c r="N287" s="37"/>
      <c r="O287" s="37"/>
      <c r="P287" s="37"/>
      <c r="Q287" s="37"/>
      <c r="X287" s="40"/>
      <c r="Y287" s="40"/>
      <c r="AB287" s="40"/>
      <c r="AC287" s="40"/>
      <c r="AD287" s="40"/>
      <c r="AE287" s="18"/>
      <c r="AF287" s="18"/>
      <c r="AG287" s="18"/>
      <c r="AH287" s="18"/>
      <c r="AI287" s="18"/>
      <c r="AJ287" s="18"/>
      <c r="AK287" s="18"/>
      <c r="AL287" s="48"/>
      <c r="AM287" s="48"/>
      <c r="AN287" s="48"/>
      <c r="AO287" s="48"/>
      <c r="AP287" s="48"/>
      <c r="AQ287" s="48"/>
      <c r="AR287" s="48"/>
      <c r="AS287" s="48"/>
      <c r="AT287" s="48"/>
      <c r="AU287" s="48"/>
      <c r="AV287" s="48"/>
      <c r="AW287" s="48"/>
      <c r="AX287" s="48"/>
      <c r="AY287" s="48"/>
      <c r="AZ287" s="48"/>
      <c r="BA287" s="48"/>
      <c r="BB287" s="48"/>
      <c r="BC287" s="48"/>
      <c r="BD287" s="48"/>
      <c r="BE287" s="40"/>
      <c r="BF287" s="40"/>
      <c r="BG287" s="54"/>
      <c r="BL287" s="40"/>
      <c r="BM287" s="40"/>
    </row>
    <row r="288" spans="7:65" x14ac:dyDescent="0.35">
      <c r="G288" s="32"/>
      <c r="H288" s="32"/>
      <c r="I288" s="32"/>
      <c r="K288" s="32"/>
      <c r="L288" s="32"/>
      <c r="M288" s="32"/>
      <c r="N288" s="37"/>
      <c r="O288" s="37"/>
      <c r="P288" s="37"/>
      <c r="Q288" s="37"/>
      <c r="X288" s="40"/>
      <c r="Y288" s="40"/>
      <c r="AB288" s="40"/>
      <c r="AC288" s="40"/>
      <c r="AD288" s="40"/>
      <c r="AE288" s="18"/>
      <c r="AF288" s="18"/>
      <c r="AG288" s="18"/>
      <c r="AH288" s="18"/>
      <c r="AI288" s="18"/>
      <c r="AJ288" s="18"/>
      <c r="AK288" s="18"/>
      <c r="AL288" s="48"/>
      <c r="AM288" s="48"/>
      <c r="AN288" s="48"/>
      <c r="AO288" s="48"/>
      <c r="AP288" s="48"/>
      <c r="AQ288" s="48"/>
      <c r="AR288" s="48"/>
      <c r="AS288" s="48"/>
      <c r="AT288" s="48"/>
      <c r="AU288" s="48"/>
      <c r="AV288" s="48"/>
      <c r="AW288" s="48"/>
      <c r="AX288" s="48"/>
      <c r="AY288" s="48"/>
      <c r="AZ288" s="48"/>
      <c r="BA288" s="48"/>
      <c r="BB288" s="48"/>
      <c r="BC288" s="48"/>
      <c r="BD288" s="48"/>
      <c r="BE288" s="40"/>
      <c r="BF288" s="40"/>
      <c r="BG288" s="54"/>
      <c r="BL288" s="40"/>
      <c r="BM288" s="40"/>
    </row>
    <row r="289" spans="7:65" x14ac:dyDescent="0.35">
      <c r="G289" s="32"/>
      <c r="H289" s="32"/>
      <c r="I289" s="32"/>
      <c r="K289" s="32"/>
      <c r="L289" s="32"/>
      <c r="M289" s="32"/>
      <c r="N289" s="37"/>
      <c r="O289" s="37"/>
      <c r="P289" s="37"/>
      <c r="Q289" s="37"/>
      <c r="X289" s="40"/>
      <c r="Y289" s="40"/>
      <c r="AB289" s="40"/>
      <c r="AC289" s="40"/>
      <c r="AD289" s="40"/>
      <c r="AE289" s="18"/>
      <c r="AF289" s="18"/>
      <c r="AG289" s="18"/>
      <c r="AH289" s="18"/>
      <c r="AI289" s="18"/>
      <c r="AJ289" s="18"/>
      <c r="AK289" s="1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8"/>
      <c r="AV289" s="48"/>
      <c r="AW289" s="48"/>
      <c r="AX289" s="48"/>
      <c r="AY289" s="48"/>
      <c r="AZ289" s="48"/>
      <c r="BA289" s="48"/>
      <c r="BB289" s="48"/>
      <c r="BC289" s="48"/>
      <c r="BD289" s="48"/>
      <c r="BE289" s="40"/>
      <c r="BF289" s="40"/>
      <c r="BG289" s="54"/>
      <c r="BL289" s="40"/>
      <c r="BM289" s="40"/>
    </row>
    <row r="290" spans="7:65" x14ac:dyDescent="0.35">
      <c r="G290" s="32"/>
      <c r="H290" s="32"/>
      <c r="I290" s="32"/>
      <c r="K290" s="32"/>
      <c r="L290" s="32"/>
      <c r="M290" s="32"/>
      <c r="N290" s="37"/>
      <c r="O290" s="37"/>
      <c r="P290" s="37"/>
      <c r="Q290" s="37"/>
      <c r="X290" s="40"/>
      <c r="Y290" s="40"/>
      <c r="AB290" s="40"/>
      <c r="AC290" s="40"/>
      <c r="AD290" s="40"/>
      <c r="AE290" s="18"/>
      <c r="AF290" s="18"/>
      <c r="AG290" s="18"/>
      <c r="AH290" s="18"/>
      <c r="AI290" s="18"/>
      <c r="AJ290" s="18"/>
      <c r="AK290" s="18"/>
      <c r="AL290" s="48"/>
      <c r="AM290" s="48"/>
      <c r="AN290" s="48"/>
      <c r="AO290" s="48"/>
      <c r="AP290" s="48"/>
      <c r="AQ290" s="48"/>
      <c r="AR290" s="48"/>
      <c r="AS290" s="48"/>
      <c r="AT290" s="48"/>
      <c r="AU290" s="48"/>
      <c r="AV290" s="48"/>
      <c r="AW290" s="48"/>
      <c r="AX290" s="48"/>
      <c r="AY290" s="48"/>
      <c r="AZ290" s="48"/>
      <c r="BA290" s="48"/>
      <c r="BB290" s="48"/>
      <c r="BC290" s="48"/>
      <c r="BD290" s="48"/>
      <c r="BE290" s="40"/>
      <c r="BF290" s="40"/>
      <c r="BG290" s="54"/>
      <c r="BL290" s="40"/>
      <c r="BM290" s="40"/>
    </row>
    <row r="291" spans="7:65" x14ac:dyDescent="0.35">
      <c r="G291" s="32"/>
      <c r="H291" s="32"/>
      <c r="I291" s="32"/>
      <c r="K291" s="32"/>
      <c r="L291" s="32"/>
      <c r="M291" s="32"/>
      <c r="N291" s="37"/>
      <c r="O291" s="37"/>
      <c r="P291" s="37"/>
      <c r="Q291" s="37"/>
      <c r="X291" s="40"/>
      <c r="Y291" s="40"/>
      <c r="AB291" s="40"/>
      <c r="AC291" s="40"/>
      <c r="AD291" s="40"/>
      <c r="AE291" s="18"/>
      <c r="AF291" s="18"/>
      <c r="AG291" s="18"/>
      <c r="AH291" s="18"/>
      <c r="AI291" s="18"/>
      <c r="AJ291" s="18"/>
      <c r="AK291" s="18"/>
      <c r="AL291" s="48"/>
      <c r="AM291" s="48"/>
      <c r="AN291" s="48"/>
      <c r="AO291" s="48"/>
      <c r="AP291" s="48"/>
      <c r="AQ291" s="48"/>
      <c r="AR291" s="48"/>
      <c r="AS291" s="48"/>
      <c r="AT291" s="48"/>
      <c r="AU291" s="48"/>
      <c r="AV291" s="48"/>
      <c r="AW291" s="48"/>
      <c r="AX291" s="48"/>
      <c r="AY291" s="48"/>
      <c r="AZ291" s="48"/>
      <c r="BA291" s="48"/>
      <c r="BB291" s="48"/>
      <c r="BC291" s="48"/>
      <c r="BD291" s="48"/>
      <c r="BE291" s="40"/>
      <c r="BF291" s="40"/>
      <c r="BG291" s="54"/>
      <c r="BL291" s="40"/>
      <c r="BM291" s="40"/>
    </row>
    <row r="292" spans="7:65" x14ac:dyDescent="0.35">
      <c r="G292" s="32"/>
      <c r="H292" s="32"/>
      <c r="I292" s="32"/>
      <c r="K292" s="32"/>
      <c r="L292" s="32"/>
      <c r="M292" s="32"/>
      <c r="N292" s="37"/>
      <c r="O292" s="37"/>
      <c r="P292" s="37"/>
      <c r="Q292" s="37"/>
      <c r="X292" s="40"/>
      <c r="Y292" s="40"/>
      <c r="AB292" s="40"/>
      <c r="AC292" s="40"/>
      <c r="AD292" s="40"/>
      <c r="AE292" s="18"/>
      <c r="AF292" s="18"/>
      <c r="AG292" s="18"/>
      <c r="AH292" s="18"/>
      <c r="AI292" s="18"/>
      <c r="AJ292" s="18"/>
      <c r="AK292" s="18"/>
      <c r="AL292" s="48"/>
      <c r="AM292" s="48"/>
      <c r="AN292" s="48"/>
      <c r="AO292" s="48"/>
      <c r="AP292" s="48"/>
      <c r="AQ292" s="48"/>
      <c r="AR292" s="48"/>
      <c r="AS292" s="48"/>
      <c r="AT292" s="48"/>
      <c r="AU292" s="48"/>
      <c r="AV292" s="48"/>
      <c r="AW292" s="48"/>
      <c r="AX292" s="48"/>
      <c r="AY292" s="48"/>
      <c r="AZ292" s="48"/>
      <c r="BA292" s="48"/>
      <c r="BB292" s="48"/>
      <c r="BC292" s="48"/>
      <c r="BD292" s="48"/>
      <c r="BE292" s="40"/>
      <c r="BF292" s="40"/>
      <c r="BG292" s="54"/>
      <c r="BL292" s="40"/>
      <c r="BM292" s="40"/>
    </row>
    <row r="293" spans="7:65" x14ac:dyDescent="0.35">
      <c r="G293" s="32"/>
      <c r="H293" s="32"/>
      <c r="I293" s="32"/>
      <c r="K293" s="32"/>
      <c r="L293" s="32"/>
      <c r="M293" s="32"/>
      <c r="N293" s="37"/>
      <c r="O293" s="37"/>
      <c r="P293" s="37"/>
      <c r="Q293" s="37"/>
      <c r="X293" s="40"/>
      <c r="Y293" s="40"/>
      <c r="AB293" s="40"/>
      <c r="AC293" s="40"/>
      <c r="AD293" s="40"/>
      <c r="AE293" s="18"/>
      <c r="AF293" s="18"/>
      <c r="AG293" s="18"/>
      <c r="AH293" s="18"/>
      <c r="AI293" s="18"/>
      <c r="AJ293" s="18"/>
      <c r="AK293" s="18"/>
      <c r="AL293" s="48"/>
      <c r="AM293" s="48"/>
      <c r="AN293" s="48"/>
      <c r="AO293" s="48"/>
      <c r="AP293" s="48"/>
      <c r="AQ293" s="48"/>
      <c r="AR293" s="48"/>
      <c r="AS293" s="48"/>
      <c r="AT293" s="48"/>
      <c r="AU293" s="48"/>
      <c r="AV293" s="48"/>
      <c r="AW293" s="48"/>
      <c r="AX293" s="48"/>
      <c r="AY293" s="48"/>
      <c r="AZ293" s="48"/>
      <c r="BA293" s="48"/>
      <c r="BB293" s="48"/>
      <c r="BC293" s="48"/>
      <c r="BD293" s="48"/>
      <c r="BE293" s="40"/>
      <c r="BF293" s="40"/>
      <c r="BG293" s="54"/>
      <c r="BL293" s="40"/>
      <c r="BM293" s="40"/>
    </row>
    <row r="294" spans="7:65" x14ac:dyDescent="0.35">
      <c r="G294" s="32"/>
      <c r="H294" s="32"/>
      <c r="I294" s="32"/>
      <c r="K294" s="32"/>
      <c r="L294" s="32"/>
      <c r="M294" s="32"/>
      <c r="N294" s="37"/>
      <c r="O294" s="37"/>
      <c r="P294" s="37"/>
      <c r="Q294" s="37"/>
      <c r="X294" s="40"/>
      <c r="Y294" s="40"/>
      <c r="AB294" s="40"/>
      <c r="AC294" s="40"/>
      <c r="AD294" s="40"/>
      <c r="AE294" s="18"/>
      <c r="AF294" s="18"/>
      <c r="AG294" s="18"/>
      <c r="AH294" s="18"/>
      <c r="AI294" s="18"/>
      <c r="AJ294" s="18"/>
      <c r="AK294" s="18"/>
      <c r="AL294" s="48"/>
      <c r="AM294" s="48"/>
      <c r="AN294" s="48"/>
      <c r="AO294" s="48"/>
      <c r="AP294" s="48"/>
      <c r="AQ294" s="48"/>
      <c r="AR294" s="48"/>
      <c r="AS294" s="48"/>
      <c r="AT294" s="48"/>
      <c r="AU294" s="48"/>
      <c r="AV294" s="48"/>
      <c r="AW294" s="48"/>
      <c r="AX294" s="48"/>
      <c r="AY294" s="48"/>
      <c r="AZ294" s="48"/>
      <c r="BA294" s="48"/>
      <c r="BB294" s="48"/>
      <c r="BC294" s="48"/>
      <c r="BD294" s="48"/>
      <c r="BE294" s="40"/>
      <c r="BF294" s="40"/>
      <c r="BG294" s="54"/>
      <c r="BL294" s="40"/>
      <c r="BM294" s="40"/>
    </row>
    <row r="295" spans="7:65" x14ac:dyDescent="0.35">
      <c r="G295" s="32"/>
      <c r="H295" s="32"/>
      <c r="I295" s="32"/>
      <c r="K295" s="32"/>
      <c r="L295" s="32"/>
      <c r="M295" s="32"/>
      <c r="N295" s="37"/>
      <c r="O295" s="37"/>
      <c r="P295" s="37"/>
      <c r="Q295" s="37"/>
      <c r="X295" s="40"/>
      <c r="Y295" s="40"/>
      <c r="AB295" s="40"/>
      <c r="AC295" s="40"/>
      <c r="AD295" s="40"/>
      <c r="AE295" s="18"/>
      <c r="AF295" s="18"/>
      <c r="AG295" s="18"/>
      <c r="AH295" s="18"/>
      <c r="AI295" s="18"/>
      <c r="AJ295" s="18"/>
      <c r="AK295" s="18"/>
      <c r="AL295" s="48"/>
      <c r="AM295" s="48"/>
      <c r="AN295" s="48"/>
      <c r="AO295" s="48"/>
      <c r="AP295" s="48"/>
      <c r="AQ295" s="48"/>
      <c r="AR295" s="48"/>
      <c r="AS295" s="48"/>
      <c r="AT295" s="48"/>
      <c r="AU295" s="48"/>
      <c r="AV295" s="48"/>
      <c r="AW295" s="48"/>
      <c r="AX295" s="48"/>
      <c r="AY295" s="48"/>
      <c r="AZ295" s="48"/>
      <c r="BA295" s="48"/>
      <c r="BB295" s="48"/>
      <c r="BC295" s="48"/>
      <c r="BD295" s="48"/>
      <c r="BE295" s="40"/>
      <c r="BF295" s="40"/>
      <c r="BG295" s="54"/>
      <c r="BL295" s="40"/>
      <c r="BM295" s="40"/>
    </row>
    <row r="296" spans="7:65" x14ac:dyDescent="0.35">
      <c r="G296" s="32"/>
      <c r="H296" s="32"/>
      <c r="I296" s="32"/>
      <c r="K296" s="32"/>
      <c r="L296" s="32"/>
      <c r="M296" s="32"/>
      <c r="N296" s="37"/>
      <c r="O296" s="37"/>
      <c r="P296" s="37"/>
      <c r="Q296" s="37"/>
      <c r="X296" s="40"/>
      <c r="Y296" s="40"/>
      <c r="AB296" s="40"/>
      <c r="AC296" s="40"/>
      <c r="AD296" s="40"/>
      <c r="AE296" s="18"/>
      <c r="AF296" s="18"/>
      <c r="AG296" s="18"/>
      <c r="AH296" s="18"/>
      <c r="AI296" s="18"/>
      <c r="AJ296" s="18"/>
      <c r="AK296" s="18"/>
      <c r="AL296" s="48"/>
      <c r="AM296" s="48"/>
      <c r="AN296" s="48"/>
      <c r="AO296" s="48"/>
      <c r="AP296" s="48"/>
      <c r="AQ296" s="48"/>
      <c r="AR296" s="48"/>
      <c r="AS296" s="48"/>
      <c r="AT296" s="48"/>
      <c r="AU296" s="48"/>
      <c r="AV296" s="48"/>
      <c r="AW296" s="48"/>
      <c r="AX296" s="48"/>
      <c r="AY296" s="48"/>
      <c r="AZ296" s="48"/>
      <c r="BA296" s="48"/>
      <c r="BB296" s="48"/>
      <c r="BC296" s="48"/>
      <c r="BD296" s="48"/>
      <c r="BE296" s="40"/>
      <c r="BF296" s="40"/>
      <c r="BG296" s="54"/>
      <c r="BL296" s="40"/>
      <c r="BM296" s="40"/>
    </row>
    <row r="297" spans="7:65" x14ac:dyDescent="0.35">
      <c r="G297" s="32"/>
      <c r="H297" s="32"/>
      <c r="I297" s="32"/>
      <c r="K297" s="32"/>
      <c r="L297" s="32"/>
      <c r="M297" s="32"/>
      <c r="N297" s="37"/>
      <c r="O297" s="37"/>
      <c r="P297" s="37"/>
      <c r="Q297" s="37"/>
      <c r="X297" s="40"/>
      <c r="Y297" s="40"/>
      <c r="AB297" s="40"/>
      <c r="AC297" s="40"/>
      <c r="AD297" s="40"/>
      <c r="AE297" s="18"/>
      <c r="AF297" s="18"/>
      <c r="AG297" s="18"/>
      <c r="AH297" s="18"/>
      <c r="AI297" s="18"/>
      <c r="AJ297" s="18"/>
      <c r="AK297" s="18"/>
      <c r="AL297" s="48"/>
      <c r="AM297" s="48"/>
      <c r="AN297" s="48"/>
      <c r="AO297" s="48"/>
      <c r="AP297" s="48"/>
      <c r="AQ297" s="48"/>
      <c r="AR297" s="48"/>
      <c r="AS297" s="48"/>
      <c r="AT297" s="48"/>
      <c r="AU297" s="48"/>
      <c r="AV297" s="48"/>
      <c r="AW297" s="48"/>
      <c r="AX297" s="48"/>
      <c r="AY297" s="48"/>
      <c r="AZ297" s="48"/>
      <c r="BA297" s="48"/>
      <c r="BB297" s="48"/>
      <c r="BC297" s="48"/>
      <c r="BD297" s="48"/>
      <c r="BE297" s="40"/>
      <c r="BF297" s="40"/>
      <c r="BG297" s="54"/>
      <c r="BL297" s="40"/>
      <c r="BM297" s="40"/>
    </row>
    <row r="298" spans="7:65" x14ac:dyDescent="0.35">
      <c r="G298" s="32"/>
      <c r="H298" s="32"/>
      <c r="I298" s="32"/>
      <c r="K298" s="32"/>
      <c r="L298" s="32"/>
      <c r="M298" s="32"/>
      <c r="N298" s="37"/>
      <c r="O298" s="37"/>
      <c r="P298" s="37"/>
      <c r="Q298" s="37"/>
      <c r="X298" s="40"/>
      <c r="Y298" s="40"/>
      <c r="AB298" s="40"/>
      <c r="AC298" s="40"/>
      <c r="AD298" s="40"/>
      <c r="AE298" s="18"/>
      <c r="AF298" s="18"/>
      <c r="AG298" s="18"/>
      <c r="AH298" s="18"/>
      <c r="AI298" s="18"/>
      <c r="AJ298" s="18"/>
      <c r="AK298" s="18"/>
      <c r="AL298" s="48"/>
      <c r="AM298" s="48"/>
      <c r="AN298" s="48"/>
      <c r="AO298" s="48"/>
      <c r="AP298" s="48"/>
      <c r="AQ298" s="48"/>
      <c r="AR298" s="48"/>
      <c r="AS298" s="48"/>
      <c r="AT298" s="48"/>
      <c r="AU298" s="48"/>
      <c r="AV298" s="48"/>
      <c r="AW298" s="48"/>
      <c r="AX298" s="48"/>
      <c r="AY298" s="48"/>
      <c r="AZ298" s="48"/>
      <c r="BA298" s="48"/>
      <c r="BB298" s="48"/>
      <c r="BC298" s="48"/>
      <c r="BD298" s="48"/>
      <c r="BE298" s="40"/>
      <c r="BF298" s="40"/>
      <c r="BG298" s="54"/>
      <c r="BL298" s="40"/>
      <c r="BM298" s="40"/>
    </row>
    <row r="299" spans="7:65" x14ac:dyDescent="0.35">
      <c r="G299" s="32"/>
      <c r="H299" s="32"/>
      <c r="I299" s="32"/>
      <c r="K299" s="32"/>
      <c r="L299" s="32"/>
      <c r="M299" s="32"/>
      <c r="N299" s="37"/>
      <c r="O299" s="37"/>
      <c r="P299" s="37"/>
      <c r="Q299" s="37"/>
      <c r="X299" s="40"/>
      <c r="Y299" s="40"/>
      <c r="AB299" s="40"/>
      <c r="AC299" s="40"/>
      <c r="AD299" s="40"/>
      <c r="AE299" s="18"/>
      <c r="AF299" s="18"/>
      <c r="AG299" s="18"/>
      <c r="AH299" s="18"/>
      <c r="AI299" s="18"/>
      <c r="AJ299" s="18"/>
      <c r="AK299" s="18"/>
      <c r="AL299" s="48"/>
      <c r="AM299" s="48"/>
      <c r="AN299" s="48"/>
      <c r="AO299" s="48"/>
      <c r="AP299" s="48"/>
      <c r="AQ299" s="48"/>
      <c r="AR299" s="48"/>
      <c r="AS299" s="48"/>
      <c r="AT299" s="48"/>
      <c r="AU299" s="48"/>
      <c r="AV299" s="48"/>
      <c r="AW299" s="48"/>
      <c r="AX299" s="48"/>
      <c r="AY299" s="48"/>
      <c r="AZ299" s="48"/>
      <c r="BA299" s="48"/>
      <c r="BB299" s="48"/>
      <c r="BC299" s="48"/>
      <c r="BD299" s="48"/>
      <c r="BE299" s="40"/>
      <c r="BF299" s="40"/>
      <c r="BG299" s="54"/>
      <c r="BL299" s="40"/>
      <c r="BM299" s="40"/>
    </row>
    <row r="300" spans="7:65" x14ac:dyDescent="0.35">
      <c r="G300" s="32"/>
      <c r="H300" s="32"/>
      <c r="I300" s="32"/>
      <c r="K300" s="32"/>
      <c r="L300" s="32"/>
      <c r="M300" s="32"/>
      <c r="N300" s="37"/>
      <c r="O300" s="37"/>
      <c r="P300" s="37"/>
      <c r="Q300" s="37"/>
      <c r="X300" s="40"/>
      <c r="Y300" s="40"/>
      <c r="AB300" s="40"/>
      <c r="AC300" s="40"/>
      <c r="AD300" s="40"/>
      <c r="AE300" s="18"/>
      <c r="AF300" s="18"/>
      <c r="AG300" s="18"/>
      <c r="AH300" s="18"/>
      <c r="AI300" s="18"/>
      <c r="AJ300" s="18"/>
      <c r="AK300" s="18"/>
      <c r="AL300" s="48"/>
      <c r="AM300" s="48"/>
      <c r="AN300" s="48"/>
      <c r="AO300" s="48"/>
      <c r="AP300" s="48"/>
      <c r="AQ300" s="48"/>
      <c r="AR300" s="48"/>
      <c r="AS300" s="48"/>
      <c r="AT300" s="48"/>
      <c r="AU300" s="48"/>
      <c r="AV300" s="48"/>
      <c r="AW300" s="48"/>
      <c r="AX300" s="48"/>
      <c r="AY300" s="48"/>
      <c r="AZ300" s="48"/>
      <c r="BA300" s="48"/>
      <c r="BB300" s="48"/>
      <c r="BC300" s="48"/>
      <c r="BD300" s="48"/>
      <c r="BE300" s="40"/>
      <c r="BF300" s="40"/>
      <c r="BG300" s="54"/>
      <c r="BL300" s="40"/>
      <c r="BM300" s="40"/>
    </row>
    <row r="301" spans="7:65" x14ac:dyDescent="0.35">
      <c r="G301" s="32"/>
      <c r="H301" s="32"/>
      <c r="I301" s="32"/>
      <c r="K301" s="32"/>
      <c r="L301" s="32"/>
      <c r="M301" s="32"/>
      <c r="N301" s="37"/>
      <c r="O301" s="37"/>
      <c r="P301" s="37"/>
      <c r="Q301" s="37"/>
      <c r="X301" s="40"/>
      <c r="Y301" s="40"/>
      <c r="AB301" s="40"/>
      <c r="AC301" s="40"/>
      <c r="AD301" s="40"/>
      <c r="AE301" s="18"/>
      <c r="AF301" s="18"/>
      <c r="AG301" s="18"/>
      <c r="AH301" s="18"/>
      <c r="AI301" s="18"/>
      <c r="AJ301" s="18"/>
      <c r="AK301" s="18"/>
      <c r="AL301" s="48"/>
      <c r="AM301" s="48"/>
      <c r="AN301" s="48"/>
      <c r="AO301" s="48"/>
      <c r="AP301" s="48"/>
      <c r="AQ301" s="48"/>
      <c r="AR301" s="48"/>
      <c r="AS301" s="48"/>
      <c r="AT301" s="48"/>
      <c r="AU301" s="48"/>
      <c r="AV301" s="48"/>
      <c r="AW301" s="48"/>
      <c r="AX301" s="48"/>
      <c r="AY301" s="48"/>
      <c r="AZ301" s="48"/>
      <c r="BA301" s="48"/>
      <c r="BB301" s="48"/>
      <c r="BC301" s="48"/>
      <c r="BD301" s="48"/>
      <c r="BE301" s="40"/>
      <c r="BF301" s="40"/>
      <c r="BG301" s="54"/>
      <c r="BL301" s="40"/>
      <c r="BM301" s="40"/>
    </row>
    <row r="302" spans="7:65" x14ac:dyDescent="0.35">
      <c r="G302" s="32"/>
      <c r="H302" s="32"/>
      <c r="I302" s="32"/>
      <c r="K302" s="32"/>
      <c r="L302" s="32"/>
      <c r="M302" s="32"/>
      <c r="N302" s="37"/>
      <c r="O302" s="37"/>
      <c r="P302" s="37"/>
      <c r="Q302" s="37"/>
      <c r="X302" s="40"/>
      <c r="Y302" s="40"/>
      <c r="AB302" s="40"/>
      <c r="AC302" s="40"/>
      <c r="AD302" s="40"/>
      <c r="AE302" s="18"/>
      <c r="AF302" s="18"/>
      <c r="AG302" s="18"/>
      <c r="AH302" s="18"/>
      <c r="AI302" s="18"/>
      <c r="AJ302" s="18"/>
      <c r="AK302" s="18"/>
      <c r="AL302" s="48"/>
      <c r="AM302" s="48"/>
      <c r="AN302" s="48"/>
      <c r="AO302" s="48"/>
      <c r="AP302" s="48"/>
      <c r="AQ302" s="48"/>
      <c r="AR302" s="48"/>
      <c r="AS302" s="48"/>
      <c r="AT302" s="48"/>
      <c r="AU302" s="48"/>
      <c r="AV302" s="48"/>
      <c r="AW302" s="48"/>
      <c r="AX302" s="48"/>
      <c r="AY302" s="48"/>
      <c r="AZ302" s="48"/>
      <c r="BA302" s="48"/>
      <c r="BB302" s="48"/>
      <c r="BC302" s="48"/>
      <c r="BD302" s="48"/>
      <c r="BE302" s="40"/>
      <c r="BF302" s="40"/>
      <c r="BG302" s="54"/>
      <c r="BL302" s="40"/>
      <c r="BM302" s="40"/>
    </row>
    <row r="303" spans="7:65" x14ac:dyDescent="0.35">
      <c r="G303" s="32"/>
      <c r="H303" s="32"/>
      <c r="I303" s="32"/>
      <c r="K303" s="32"/>
      <c r="L303" s="32"/>
      <c r="M303" s="32"/>
      <c r="N303" s="37"/>
      <c r="O303" s="37"/>
      <c r="P303" s="37"/>
      <c r="Q303" s="37"/>
      <c r="X303" s="40"/>
      <c r="Y303" s="40"/>
      <c r="AB303" s="40"/>
      <c r="AC303" s="40"/>
      <c r="AD303" s="40"/>
      <c r="AE303" s="18"/>
      <c r="AF303" s="18"/>
      <c r="AG303" s="18"/>
      <c r="AH303" s="18"/>
      <c r="AI303" s="18"/>
      <c r="AJ303" s="18"/>
      <c r="AK303" s="18"/>
      <c r="AL303" s="48"/>
      <c r="AM303" s="48"/>
      <c r="AN303" s="48"/>
      <c r="AO303" s="48"/>
      <c r="AP303" s="48"/>
      <c r="AQ303" s="48"/>
      <c r="AR303" s="48"/>
      <c r="AS303" s="48"/>
      <c r="AT303" s="48"/>
      <c r="AU303" s="48"/>
      <c r="AV303" s="48"/>
      <c r="AW303" s="48"/>
      <c r="AX303" s="48"/>
      <c r="AY303" s="48"/>
      <c r="AZ303" s="48"/>
      <c r="BA303" s="48"/>
      <c r="BB303" s="48"/>
      <c r="BC303" s="48"/>
      <c r="BD303" s="48"/>
      <c r="BE303" s="40"/>
      <c r="BF303" s="40"/>
      <c r="BG303" s="54"/>
      <c r="BL303" s="40"/>
      <c r="BM303" s="40"/>
    </row>
    <row r="304" spans="7:65" x14ac:dyDescent="0.35">
      <c r="G304" s="32"/>
      <c r="H304" s="32"/>
      <c r="I304" s="32"/>
      <c r="K304" s="32"/>
      <c r="L304" s="32"/>
      <c r="M304" s="32"/>
      <c r="N304" s="37"/>
      <c r="O304" s="37"/>
      <c r="P304" s="37"/>
      <c r="Q304" s="37"/>
      <c r="X304" s="40"/>
      <c r="Y304" s="40"/>
      <c r="AB304" s="40"/>
      <c r="AC304" s="40"/>
      <c r="AD304" s="40"/>
      <c r="AE304" s="18"/>
      <c r="AF304" s="18"/>
      <c r="AG304" s="18"/>
      <c r="AH304" s="18"/>
      <c r="AI304" s="18"/>
      <c r="AJ304" s="18"/>
      <c r="AK304" s="18"/>
      <c r="AL304" s="48"/>
      <c r="AM304" s="48"/>
      <c r="AN304" s="48"/>
      <c r="AO304" s="48"/>
      <c r="AP304" s="48"/>
      <c r="AQ304" s="48"/>
      <c r="AR304" s="48"/>
      <c r="AS304" s="48"/>
      <c r="AT304" s="48"/>
      <c r="AU304" s="48"/>
      <c r="AV304" s="48"/>
      <c r="AW304" s="48"/>
      <c r="AX304" s="48"/>
      <c r="AY304" s="48"/>
      <c r="AZ304" s="48"/>
      <c r="BA304" s="48"/>
      <c r="BB304" s="48"/>
      <c r="BC304" s="48"/>
      <c r="BD304" s="48"/>
      <c r="BE304" s="40"/>
      <c r="BF304" s="40"/>
      <c r="BG304" s="71"/>
      <c r="BL304" s="40"/>
      <c r="BM304" s="40"/>
    </row>
    <row r="305" spans="1:65" x14ac:dyDescent="0.35">
      <c r="G305" s="32"/>
      <c r="H305" s="32"/>
      <c r="I305" s="32"/>
      <c r="K305" s="32"/>
      <c r="L305" s="32"/>
      <c r="M305" s="32"/>
      <c r="N305" s="37"/>
      <c r="O305" s="37"/>
      <c r="P305" s="37"/>
      <c r="Q305" s="37"/>
      <c r="X305" s="40"/>
      <c r="Y305" s="40"/>
      <c r="AB305" s="40"/>
      <c r="AC305" s="40"/>
      <c r="AD305" s="40"/>
      <c r="AE305" s="18"/>
      <c r="AF305" s="18"/>
      <c r="AG305" s="18"/>
      <c r="AH305" s="18"/>
      <c r="AI305" s="18"/>
      <c r="AJ305" s="18"/>
      <c r="AK305" s="18"/>
      <c r="AL305" s="48"/>
      <c r="AM305" s="48"/>
      <c r="AN305" s="48"/>
      <c r="AO305" s="48"/>
      <c r="AP305" s="48"/>
      <c r="AQ305" s="48"/>
      <c r="AR305" s="48"/>
      <c r="AS305" s="48"/>
      <c r="AT305" s="48"/>
      <c r="AU305" s="48"/>
      <c r="AV305" s="48"/>
      <c r="AW305" s="48"/>
      <c r="AX305" s="48"/>
      <c r="AY305" s="48"/>
      <c r="AZ305" s="48"/>
      <c r="BA305" s="48"/>
      <c r="BB305" s="48"/>
      <c r="BC305" s="48"/>
      <c r="BD305" s="48"/>
      <c r="BE305" s="40"/>
      <c r="BF305" s="40"/>
      <c r="BG305" s="71"/>
      <c r="BL305" s="40"/>
      <c r="BM305" s="40"/>
    </row>
    <row r="306" spans="1:65" x14ac:dyDescent="0.35">
      <c r="G306" s="32"/>
      <c r="H306" s="32"/>
      <c r="I306" s="32"/>
      <c r="K306" s="32"/>
      <c r="L306" s="32"/>
      <c r="M306" s="32"/>
      <c r="N306" s="37"/>
      <c r="O306" s="37"/>
      <c r="P306" s="37"/>
      <c r="Q306" s="37"/>
      <c r="X306" s="40"/>
      <c r="Y306" s="40"/>
      <c r="AB306" s="40"/>
      <c r="AC306" s="40"/>
      <c r="AD306" s="40"/>
      <c r="AE306" s="18"/>
      <c r="AF306" s="18"/>
      <c r="AG306" s="18"/>
      <c r="AH306" s="18"/>
      <c r="AI306" s="18"/>
      <c r="AJ306" s="18"/>
      <c r="AK306" s="18"/>
      <c r="AL306" s="48"/>
      <c r="AM306" s="48"/>
      <c r="AN306" s="48"/>
      <c r="AO306" s="48"/>
      <c r="AP306" s="48"/>
      <c r="AQ306" s="48"/>
      <c r="AR306" s="48"/>
      <c r="AS306" s="48"/>
      <c r="AT306" s="48"/>
      <c r="AU306" s="48"/>
      <c r="AV306" s="48"/>
      <c r="AW306" s="48"/>
      <c r="AX306" s="48"/>
      <c r="AY306" s="48"/>
      <c r="AZ306" s="48"/>
      <c r="BA306" s="48"/>
      <c r="BB306" s="48"/>
      <c r="BC306" s="48"/>
      <c r="BD306" s="48"/>
      <c r="BE306" s="40"/>
      <c r="BF306" s="40"/>
      <c r="BG306" s="71"/>
      <c r="BL306" s="40"/>
      <c r="BM306" s="40"/>
    </row>
    <row r="307" spans="1:65" x14ac:dyDescent="0.35">
      <c r="G307" s="32"/>
      <c r="H307" s="32"/>
      <c r="I307" s="32"/>
      <c r="K307" s="32"/>
      <c r="L307" s="32"/>
      <c r="M307" s="32"/>
      <c r="N307" s="37"/>
      <c r="O307" s="37"/>
      <c r="P307" s="37"/>
      <c r="Q307" s="37"/>
      <c r="X307" s="40"/>
      <c r="Y307" s="40"/>
      <c r="AB307" s="40"/>
      <c r="AC307" s="40"/>
      <c r="AD307" s="40"/>
      <c r="AE307" s="18"/>
      <c r="AF307" s="18"/>
      <c r="AG307" s="18"/>
      <c r="AH307" s="18"/>
      <c r="AI307" s="18"/>
      <c r="AJ307" s="18"/>
      <c r="AK307" s="18"/>
      <c r="AL307" s="48"/>
      <c r="AM307" s="48"/>
      <c r="AN307" s="48"/>
      <c r="AO307" s="48"/>
      <c r="AP307" s="48"/>
      <c r="AQ307" s="48"/>
      <c r="AR307" s="48"/>
      <c r="AS307" s="48"/>
      <c r="AT307" s="48"/>
      <c r="AU307" s="48"/>
      <c r="AV307" s="48"/>
      <c r="AW307" s="48"/>
      <c r="AX307" s="48"/>
      <c r="AY307" s="48"/>
      <c r="AZ307" s="48"/>
      <c r="BA307" s="48"/>
      <c r="BB307" s="48"/>
      <c r="BC307" s="48"/>
      <c r="BD307" s="48"/>
      <c r="BE307" s="40"/>
      <c r="BF307" s="40"/>
      <c r="BG307" s="71"/>
      <c r="BL307" s="40"/>
      <c r="BM307" s="40"/>
    </row>
    <row r="308" spans="1:65" x14ac:dyDescent="0.35">
      <c r="G308" s="32"/>
      <c r="H308" s="32"/>
      <c r="I308" s="32"/>
      <c r="K308" s="32"/>
      <c r="L308" s="32"/>
      <c r="M308" s="32"/>
      <c r="N308" s="37"/>
      <c r="O308" s="37"/>
      <c r="P308" s="37"/>
      <c r="Q308" s="37"/>
      <c r="X308" s="40"/>
      <c r="Y308" s="40"/>
      <c r="AB308" s="40"/>
      <c r="AC308" s="40"/>
      <c r="AD308" s="40"/>
      <c r="AE308" s="18"/>
      <c r="AF308" s="18"/>
      <c r="AG308" s="18"/>
      <c r="AH308" s="18"/>
      <c r="AI308" s="18"/>
      <c r="AJ308" s="18"/>
      <c r="AK308" s="18"/>
      <c r="AL308" s="48"/>
      <c r="AM308" s="48"/>
      <c r="AN308" s="48"/>
      <c r="AO308" s="48"/>
      <c r="AP308" s="48"/>
      <c r="AQ308" s="48"/>
      <c r="AR308" s="48"/>
      <c r="AS308" s="48"/>
      <c r="AT308" s="48"/>
      <c r="AU308" s="48"/>
      <c r="AV308" s="48"/>
      <c r="AW308" s="48"/>
      <c r="AX308" s="48"/>
      <c r="AY308" s="48"/>
      <c r="AZ308" s="48"/>
      <c r="BA308" s="48"/>
      <c r="BB308" s="48"/>
      <c r="BC308" s="48"/>
      <c r="BD308" s="48"/>
      <c r="BE308" s="40"/>
      <c r="BF308" s="40"/>
      <c r="BG308" s="71"/>
      <c r="BL308" s="40"/>
      <c r="BM308" s="40"/>
    </row>
    <row r="309" spans="1:65" x14ac:dyDescent="0.35">
      <c r="G309" s="32"/>
      <c r="H309" s="32"/>
      <c r="I309" s="32"/>
      <c r="K309" s="32"/>
      <c r="L309" s="32"/>
      <c r="M309" s="32"/>
      <c r="N309" s="37"/>
      <c r="O309" s="37"/>
      <c r="P309" s="37"/>
      <c r="Q309" s="37"/>
      <c r="X309" s="40"/>
      <c r="Y309" s="40"/>
      <c r="AB309" s="40"/>
      <c r="AC309" s="40"/>
      <c r="AD309" s="40"/>
      <c r="AE309" s="18"/>
      <c r="AF309" s="18"/>
      <c r="AG309" s="18"/>
      <c r="AH309" s="18"/>
      <c r="AI309" s="18"/>
      <c r="AJ309" s="18"/>
      <c r="AK309" s="18"/>
      <c r="AL309" s="48"/>
      <c r="AM309" s="48"/>
      <c r="AN309" s="48"/>
      <c r="AO309" s="48"/>
      <c r="AP309" s="48"/>
      <c r="AQ309" s="48"/>
      <c r="AR309" s="48"/>
      <c r="AS309" s="48"/>
      <c r="AT309" s="48"/>
      <c r="AU309" s="48"/>
      <c r="AV309" s="48"/>
      <c r="AW309" s="48"/>
      <c r="AX309" s="48"/>
      <c r="AY309" s="48"/>
      <c r="AZ309" s="48"/>
      <c r="BA309" s="48"/>
      <c r="BB309" s="48"/>
      <c r="BC309" s="48"/>
      <c r="BD309" s="48"/>
      <c r="BE309" s="40"/>
      <c r="BF309" s="40"/>
      <c r="BG309" s="71"/>
      <c r="BL309" s="40"/>
      <c r="BM309" s="40"/>
    </row>
    <row r="310" spans="1:65" x14ac:dyDescent="0.35">
      <c r="G310" s="32"/>
      <c r="H310" s="32"/>
      <c r="I310" s="32"/>
      <c r="K310" s="32"/>
      <c r="L310" s="32"/>
      <c r="M310" s="32"/>
      <c r="N310" s="37"/>
      <c r="O310" s="37"/>
      <c r="P310" s="37"/>
      <c r="Q310" s="37"/>
      <c r="X310" s="40"/>
      <c r="Y310" s="40"/>
      <c r="AB310" s="40"/>
      <c r="AC310" s="40"/>
      <c r="AD310" s="40"/>
      <c r="AE310" s="18"/>
      <c r="AF310" s="18"/>
      <c r="AG310" s="18"/>
      <c r="AH310" s="18"/>
      <c r="AI310" s="18"/>
      <c r="AJ310" s="18"/>
      <c r="AK310" s="18"/>
      <c r="AL310" s="48"/>
      <c r="AM310" s="48"/>
      <c r="AN310" s="48"/>
      <c r="AO310" s="48"/>
      <c r="AP310" s="48"/>
      <c r="AQ310" s="48"/>
      <c r="AR310" s="48"/>
      <c r="AS310" s="48"/>
      <c r="AT310" s="48"/>
      <c r="AU310" s="48"/>
      <c r="AV310" s="48"/>
      <c r="AW310" s="48"/>
      <c r="AX310" s="48"/>
      <c r="AY310" s="48"/>
      <c r="AZ310" s="48"/>
      <c r="BA310" s="48"/>
      <c r="BB310" s="48"/>
      <c r="BC310" s="48"/>
      <c r="BD310" s="48"/>
      <c r="BE310" s="40"/>
      <c r="BF310" s="40"/>
      <c r="BG310" s="71"/>
      <c r="BL310" s="40"/>
      <c r="BM310" s="40"/>
    </row>
    <row r="311" spans="1:65" s="53" customFormat="1" x14ac:dyDescent="0.35">
      <c r="A311" s="1"/>
      <c r="B311" s="2"/>
      <c r="C311" s="2"/>
      <c r="D311" s="3"/>
      <c r="E311" s="2"/>
      <c r="F311" s="2"/>
      <c r="G311" s="32"/>
      <c r="H311" s="32"/>
      <c r="I311" s="32"/>
      <c r="J311" s="2"/>
      <c r="K311" s="32"/>
      <c r="L311" s="32"/>
      <c r="M311" s="32"/>
      <c r="N311" s="37"/>
      <c r="O311" s="37"/>
      <c r="P311" s="37"/>
      <c r="Q311" s="37"/>
      <c r="R311" s="3"/>
      <c r="S311" s="3"/>
      <c r="T311" s="76"/>
      <c r="U311" s="3"/>
      <c r="V311" s="3"/>
      <c r="W311" s="3"/>
      <c r="X311" s="40"/>
      <c r="Y311" s="40"/>
      <c r="Z311" s="12"/>
      <c r="AA311" s="12"/>
      <c r="AB311" s="40"/>
      <c r="AC311" s="40"/>
      <c r="AD311" s="40"/>
      <c r="AE311" s="18"/>
      <c r="AF311" s="18"/>
      <c r="AG311" s="18"/>
      <c r="AH311" s="18"/>
      <c r="AI311" s="18"/>
      <c r="AJ311" s="18"/>
      <c r="AK311" s="18"/>
      <c r="AL311" s="48"/>
      <c r="AM311" s="48"/>
      <c r="AN311" s="48"/>
      <c r="AO311" s="48"/>
      <c r="AP311" s="48"/>
      <c r="AQ311" s="48"/>
      <c r="AR311" s="48"/>
      <c r="AS311" s="48"/>
      <c r="AT311" s="48"/>
      <c r="AU311" s="48"/>
      <c r="AV311" s="48"/>
      <c r="AW311" s="48"/>
      <c r="AX311" s="48"/>
      <c r="AY311" s="48"/>
      <c r="AZ311" s="48"/>
      <c r="BA311" s="48"/>
      <c r="BB311" s="48"/>
      <c r="BC311" s="48"/>
      <c r="BD311" s="48"/>
      <c r="BE311" s="40"/>
      <c r="BF311" s="40"/>
      <c r="BG311" s="71"/>
      <c r="BI311" s="12"/>
      <c r="BJ311" s="12"/>
      <c r="BK311" s="12"/>
      <c r="BL311" s="40"/>
      <c r="BM311" s="40"/>
    </row>
    <row r="312" spans="1:65" x14ac:dyDescent="0.35">
      <c r="G312" s="32"/>
      <c r="H312" s="32"/>
      <c r="I312" s="32"/>
      <c r="K312" s="32"/>
      <c r="L312" s="32"/>
      <c r="M312" s="32"/>
      <c r="N312" s="37"/>
      <c r="O312" s="37"/>
      <c r="P312" s="37"/>
      <c r="Q312" s="37"/>
      <c r="X312" s="40"/>
      <c r="Y312" s="40"/>
      <c r="AB312" s="40"/>
      <c r="AC312" s="40"/>
      <c r="AD312" s="40"/>
      <c r="AE312" s="18"/>
      <c r="AF312" s="18"/>
      <c r="AG312" s="18"/>
      <c r="AH312" s="18"/>
      <c r="AI312" s="18"/>
      <c r="AJ312" s="18"/>
      <c r="AK312" s="18"/>
      <c r="AL312" s="48"/>
      <c r="AM312" s="48"/>
      <c r="AN312" s="48"/>
      <c r="AO312" s="48"/>
      <c r="AP312" s="48"/>
      <c r="AQ312" s="48"/>
      <c r="AR312" s="48"/>
      <c r="AS312" s="48"/>
      <c r="AT312" s="48"/>
      <c r="AU312" s="48"/>
      <c r="AV312" s="48"/>
      <c r="AW312" s="48"/>
      <c r="AX312" s="48"/>
      <c r="AY312" s="48"/>
      <c r="AZ312" s="48"/>
      <c r="BA312" s="48"/>
      <c r="BB312" s="48"/>
      <c r="BC312" s="48"/>
      <c r="BD312" s="48"/>
      <c r="BE312" s="40"/>
      <c r="BF312" s="40"/>
      <c r="BG312" s="71"/>
      <c r="BL312" s="40"/>
      <c r="BM312" s="40"/>
    </row>
    <row r="313" spans="1:65" x14ac:dyDescent="0.35">
      <c r="G313" s="32"/>
      <c r="H313" s="32"/>
      <c r="I313" s="32"/>
      <c r="K313" s="32"/>
      <c r="L313" s="32"/>
      <c r="M313" s="32"/>
      <c r="N313" s="37"/>
      <c r="O313" s="37"/>
      <c r="P313" s="37"/>
      <c r="Q313" s="37"/>
      <c r="X313" s="40"/>
      <c r="Y313" s="40"/>
      <c r="AB313" s="40"/>
      <c r="AC313" s="40"/>
      <c r="AD313" s="40"/>
      <c r="AE313" s="18"/>
      <c r="AF313" s="18"/>
      <c r="AG313" s="18"/>
      <c r="AH313" s="18"/>
      <c r="AI313" s="18"/>
      <c r="AJ313" s="18"/>
      <c r="AK313" s="18"/>
      <c r="AL313" s="48"/>
      <c r="AM313" s="48"/>
      <c r="AN313" s="48"/>
      <c r="AO313" s="48"/>
      <c r="AP313" s="48"/>
      <c r="AQ313" s="48"/>
      <c r="AR313" s="48"/>
      <c r="AS313" s="48"/>
      <c r="AT313" s="48"/>
      <c r="AU313" s="48"/>
      <c r="AV313" s="48"/>
      <c r="AW313" s="48"/>
      <c r="AX313" s="48"/>
      <c r="AY313" s="48"/>
      <c r="AZ313" s="48"/>
      <c r="BA313" s="48"/>
      <c r="BB313" s="48"/>
      <c r="BC313" s="48"/>
      <c r="BD313" s="48"/>
      <c r="BE313" s="40"/>
      <c r="BF313" s="40"/>
      <c r="BG313" s="71"/>
      <c r="BL313" s="40"/>
      <c r="BM313" s="40"/>
    </row>
    <row r="314" spans="1:65" x14ac:dyDescent="0.35">
      <c r="G314" s="32"/>
      <c r="H314" s="32"/>
      <c r="I314" s="32"/>
      <c r="K314" s="32"/>
      <c r="L314" s="32"/>
      <c r="M314" s="32"/>
      <c r="N314" s="37"/>
      <c r="O314" s="37"/>
      <c r="P314" s="37"/>
      <c r="Q314" s="37"/>
      <c r="X314" s="40"/>
      <c r="Y314" s="40"/>
      <c r="AB314" s="40"/>
      <c r="AC314" s="40"/>
      <c r="AD314" s="40"/>
      <c r="AE314" s="18"/>
      <c r="AF314" s="18"/>
      <c r="AG314" s="18"/>
      <c r="AH314" s="18"/>
      <c r="AI314" s="18"/>
      <c r="AJ314" s="18"/>
      <c r="AK314" s="18"/>
      <c r="AL314" s="48"/>
      <c r="AM314" s="48"/>
      <c r="AN314" s="48"/>
      <c r="AO314" s="48"/>
      <c r="AP314" s="48"/>
      <c r="AQ314" s="48"/>
      <c r="AR314" s="48"/>
      <c r="AS314" s="48"/>
      <c r="AT314" s="48"/>
      <c r="AU314" s="48"/>
      <c r="AV314" s="48"/>
      <c r="AW314" s="48"/>
      <c r="AX314" s="48"/>
      <c r="AY314" s="48"/>
      <c r="AZ314" s="48"/>
      <c r="BA314" s="48"/>
      <c r="BB314" s="48"/>
      <c r="BC314" s="48"/>
      <c r="BD314" s="48"/>
      <c r="BE314" s="40"/>
      <c r="BF314" s="40"/>
      <c r="BG314" s="71"/>
      <c r="BL314" s="40"/>
      <c r="BM314" s="40"/>
    </row>
    <row r="315" spans="1:65" x14ac:dyDescent="0.35">
      <c r="G315" s="32"/>
      <c r="H315" s="32"/>
      <c r="I315" s="32"/>
      <c r="K315" s="32"/>
      <c r="L315" s="32"/>
      <c r="M315" s="32"/>
      <c r="N315" s="37"/>
      <c r="O315" s="37"/>
      <c r="P315" s="37"/>
      <c r="Q315" s="37"/>
      <c r="X315" s="40"/>
      <c r="Y315" s="40"/>
      <c r="AB315" s="40"/>
      <c r="AC315" s="40"/>
      <c r="AD315" s="40"/>
      <c r="AE315" s="18"/>
      <c r="AF315" s="18"/>
      <c r="AG315" s="18"/>
      <c r="AH315" s="18"/>
      <c r="AI315" s="18"/>
      <c r="AJ315" s="18"/>
      <c r="AK315" s="18"/>
      <c r="AL315" s="48"/>
      <c r="AM315" s="48"/>
      <c r="AN315" s="48"/>
      <c r="AO315" s="48"/>
      <c r="AP315" s="48"/>
      <c r="AQ315" s="48"/>
      <c r="AR315" s="48"/>
      <c r="AS315" s="48"/>
      <c r="AT315" s="48"/>
      <c r="AU315" s="48"/>
      <c r="AV315" s="48"/>
      <c r="AW315" s="48"/>
      <c r="AX315" s="48"/>
      <c r="AY315" s="48"/>
      <c r="AZ315" s="48"/>
      <c r="BA315" s="48"/>
      <c r="BB315" s="48"/>
      <c r="BC315" s="48"/>
      <c r="BD315" s="48"/>
      <c r="BE315" s="40"/>
      <c r="BF315" s="40"/>
      <c r="BG315" s="71"/>
      <c r="BL315" s="40"/>
      <c r="BM315" s="40"/>
    </row>
    <row r="316" spans="1:65" x14ac:dyDescent="0.35">
      <c r="G316" s="32"/>
      <c r="H316" s="32"/>
      <c r="I316" s="32"/>
      <c r="K316" s="32"/>
      <c r="L316" s="32"/>
      <c r="M316" s="32"/>
      <c r="N316" s="37"/>
      <c r="O316" s="37"/>
      <c r="P316" s="37"/>
      <c r="Q316" s="37"/>
      <c r="X316" s="40"/>
      <c r="Y316" s="40"/>
      <c r="AB316" s="40"/>
      <c r="AC316" s="40"/>
      <c r="AD316" s="40"/>
      <c r="AE316" s="18"/>
      <c r="AF316" s="18"/>
      <c r="AG316" s="18"/>
      <c r="AH316" s="18"/>
      <c r="AI316" s="18"/>
      <c r="AJ316" s="18"/>
      <c r="AK316" s="18"/>
      <c r="AL316" s="48"/>
      <c r="AM316" s="48"/>
      <c r="AN316" s="48"/>
      <c r="AO316" s="48"/>
      <c r="AP316" s="48"/>
      <c r="AQ316" s="48"/>
      <c r="AR316" s="48"/>
      <c r="AS316" s="48"/>
      <c r="AT316" s="48"/>
      <c r="AU316" s="48"/>
      <c r="AV316" s="48"/>
      <c r="AW316" s="48"/>
      <c r="AX316" s="48"/>
      <c r="AY316" s="48"/>
      <c r="AZ316" s="48"/>
      <c r="BA316" s="48"/>
      <c r="BB316" s="48"/>
      <c r="BC316" s="48"/>
      <c r="BD316" s="48"/>
      <c r="BE316" s="40"/>
      <c r="BF316" s="40"/>
      <c r="BG316" s="71"/>
      <c r="BL316" s="40"/>
      <c r="BM316" s="40"/>
    </row>
    <row r="317" spans="1:65" x14ac:dyDescent="0.35">
      <c r="G317" s="32"/>
      <c r="H317" s="32"/>
      <c r="I317" s="32"/>
      <c r="K317" s="32"/>
      <c r="L317" s="32"/>
      <c r="M317" s="32"/>
      <c r="N317" s="37"/>
      <c r="O317" s="37"/>
      <c r="P317" s="37"/>
      <c r="Q317" s="37"/>
      <c r="X317" s="40"/>
      <c r="Y317" s="40"/>
      <c r="AB317" s="40"/>
      <c r="AC317" s="40"/>
      <c r="AD317" s="40"/>
      <c r="AE317" s="18"/>
      <c r="AF317" s="18"/>
      <c r="AG317" s="18"/>
      <c r="AH317" s="18"/>
      <c r="AI317" s="18"/>
      <c r="AJ317" s="18"/>
      <c r="AK317" s="18"/>
      <c r="AL317" s="48"/>
      <c r="AM317" s="48"/>
      <c r="AN317" s="48"/>
      <c r="AO317" s="48"/>
      <c r="AP317" s="48"/>
      <c r="AQ317" s="48"/>
      <c r="AR317" s="48"/>
      <c r="AS317" s="48"/>
      <c r="AT317" s="48"/>
      <c r="AU317" s="48"/>
      <c r="AV317" s="48"/>
      <c r="AW317" s="48"/>
      <c r="AX317" s="48"/>
      <c r="AY317" s="48"/>
      <c r="AZ317" s="48"/>
      <c r="BA317" s="48"/>
      <c r="BB317" s="48"/>
      <c r="BC317" s="48"/>
      <c r="BD317" s="48"/>
      <c r="BE317" s="40"/>
      <c r="BF317" s="40"/>
      <c r="BG317" s="71"/>
      <c r="BL317" s="40"/>
      <c r="BM317" s="40"/>
    </row>
    <row r="318" spans="1:65" x14ac:dyDescent="0.35">
      <c r="G318" s="32"/>
      <c r="H318" s="32"/>
      <c r="I318" s="32"/>
      <c r="K318" s="32"/>
      <c r="L318" s="32"/>
      <c r="M318" s="32"/>
      <c r="N318" s="37"/>
      <c r="O318" s="37"/>
      <c r="P318" s="37"/>
      <c r="Q318" s="37"/>
      <c r="X318" s="40"/>
      <c r="Y318" s="40"/>
      <c r="AB318" s="40"/>
      <c r="AC318" s="40"/>
      <c r="AD318" s="40"/>
      <c r="AE318" s="18"/>
      <c r="AF318" s="18"/>
      <c r="AG318" s="18"/>
      <c r="AH318" s="18"/>
      <c r="AI318" s="18"/>
      <c r="AJ318" s="18"/>
      <c r="AK318" s="18"/>
      <c r="AL318" s="48"/>
      <c r="AM318" s="48"/>
      <c r="AN318" s="48"/>
      <c r="AO318" s="48"/>
      <c r="AP318" s="48"/>
      <c r="AQ318" s="48"/>
      <c r="AR318" s="48"/>
      <c r="AS318" s="48"/>
      <c r="AT318" s="48"/>
      <c r="AU318" s="48"/>
      <c r="AV318" s="48"/>
      <c r="AW318" s="48"/>
      <c r="AX318" s="48"/>
      <c r="AY318" s="48"/>
      <c r="AZ318" s="48"/>
      <c r="BA318" s="48"/>
      <c r="BB318" s="48"/>
      <c r="BC318" s="48"/>
      <c r="BD318" s="48"/>
      <c r="BE318" s="40"/>
      <c r="BF318" s="40"/>
      <c r="BG318" s="71"/>
      <c r="BL318" s="40"/>
      <c r="BM318" s="40"/>
    </row>
    <row r="319" spans="1:65" x14ac:dyDescent="0.35">
      <c r="G319" s="32"/>
      <c r="H319" s="32"/>
      <c r="I319" s="32"/>
      <c r="K319" s="32"/>
      <c r="L319" s="32"/>
      <c r="M319" s="32"/>
      <c r="N319" s="37"/>
      <c r="O319" s="37"/>
      <c r="P319" s="37"/>
      <c r="Q319" s="37"/>
      <c r="X319" s="40"/>
      <c r="Y319" s="40"/>
      <c r="AB319" s="40"/>
      <c r="AC319" s="40"/>
      <c r="AD319" s="40"/>
      <c r="AE319" s="18"/>
      <c r="AF319" s="18"/>
      <c r="AG319" s="18"/>
      <c r="AH319" s="18"/>
      <c r="AI319" s="18"/>
      <c r="AJ319" s="18"/>
      <c r="AK319" s="18"/>
      <c r="AL319" s="48"/>
      <c r="AM319" s="48"/>
      <c r="AN319" s="48"/>
      <c r="AO319" s="48"/>
      <c r="AP319" s="48"/>
      <c r="AQ319" s="48"/>
      <c r="AR319" s="48"/>
      <c r="AS319" s="48"/>
      <c r="AT319" s="48"/>
      <c r="AU319" s="48"/>
      <c r="AV319" s="48"/>
      <c r="AW319" s="48"/>
      <c r="AX319" s="48"/>
      <c r="AY319" s="48"/>
      <c r="AZ319" s="48"/>
      <c r="BA319" s="48"/>
      <c r="BB319" s="48"/>
      <c r="BC319" s="48"/>
      <c r="BD319" s="48"/>
      <c r="BE319" s="40"/>
      <c r="BF319" s="40"/>
      <c r="BG319" s="71"/>
      <c r="BL319" s="40"/>
      <c r="BM319" s="40"/>
    </row>
    <row r="320" spans="1:65" x14ac:dyDescent="0.35">
      <c r="G320" s="32"/>
      <c r="H320" s="32"/>
      <c r="I320" s="32"/>
      <c r="K320" s="32"/>
      <c r="L320" s="32"/>
      <c r="M320" s="32"/>
      <c r="N320" s="37"/>
      <c r="O320" s="37"/>
      <c r="P320" s="37"/>
      <c r="Q320" s="37"/>
      <c r="X320" s="40"/>
      <c r="Y320" s="40"/>
      <c r="AB320" s="40"/>
      <c r="AC320" s="40"/>
      <c r="AD320" s="40"/>
      <c r="AE320" s="18"/>
      <c r="AF320" s="18"/>
      <c r="AG320" s="18"/>
      <c r="AH320" s="18"/>
      <c r="AI320" s="18"/>
      <c r="AJ320" s="18"/>
      <c r="AK320" s="18"/>
      <c r="AL320" s="48"/>
      <c r="AM320" s="48"/>
      <c r="AN320" s="48"/>
      <c r="AO320" s="48"/>
      <c r="AP320" s="48"/>
      <c r="AQ320" s="48"/>
      <c r="AR320" s="48"/>
      <c r="AS320" s="48"/>
      <c r="AT320" s="48"/>
      <c r="AU320" s="48"/>
      <c r="AV320" s="48"/>
      <c r="AW320" s="48"/>
      <c r="AX320" s="48"/>
      <c r="AY320" s="48"/>
      <c r="AZ320" s="48"/>
      <c r="BA320" s="48"/>
      <c r="BB320" s="48"/>
      <c r="BC320" s="48"/>
      <c r="BD320" s="48"/>
      <c r="BE320" s="40"/>
      <c r="BF320" s="40"/>
      <c r="BG320" s="71"/>
      <c r="BL320" s="40"/>
      <c r="BM320" s="40"/>
    </row>
    <row r="321" spans="7:65" x14ac:dyDescent="0.35">
      <c r="X321" s="40"/>
      <c r="Y321" s="40"/>
      <c r="AB321" s="40"/>
      <c r="AC321" s="40"/>
      <c r="AD321" s="40"/>
      <c r="AE321" s="18"/>
      <c r="AF321" s="18"/>
      <c r="AG321" s="18"/>
      <c r="AH321" s="18"/>
      <c r="AI321" s="18"/>
      <c r="AJ321" s="18"/>
      <c r="AK321" s="18"/>
      <c r="AL321" s="48"/>
      <c r="AM321" s="48"/>
      <c r="AN321" s="48"/>
      <c r="AO321" s="48"/>
      <c r="AP321" s="48"/>
      <c r="AQ321" s="48"/>
      <c r="AR321" s="48"/>
      <c r="AS321" s="48"/>
      <c r="AT321" s="48"/>
      <c r="AU321" s="48"/>
      <c r="AV321" s="48"/>
      <c r="AW321" s="48"/>
      <c r="AX321" s="48"/>
      <c r="AY321" s="48"/>
      <c r="AZ321" s="48"/>
      <c r="BA321" s="48"/>
      <c r="BB321" s="48"/>
      <c r="BC321" s="48"/>
      <c r="BD321" s="48"/>
      <c r="BE321" s="40"/>
      <c r="BF321" s="40"/>
      <c r="BG321" s="71"/>
      <c r="BL321" s="40"/>
      <c r="BM321" s="40"/>
    </row>
    <row r="322" spans="7:65" x14ac:dyDescent="0.35">
      <c r="X322" s="40"/>
      <c r="Y322" s="40"/>
      <c r="AB322" s="40"/>
      <c r="AC322" s="40"/>
      <c r="AD322" s="40"/>
      <c r="AE322" s="18"/>
      <c r="AF322" s="18"/>
      <c r="AG322" s="18"/>
      <c r="AH322" s="18"/>
      <c r="AI322" s="18"/>
      <c r="AJ322" s="18"/>
      <c r="AK322" s="18"/>
      <c r="AL322" s="48"/>
      <c r="AM322" s="48"/>
      <c r="AN322" s="48"/>
      <c r="AO322" s="48"/>
      <c r="AP322" s="48"/>
      <c r="AQ322" s="48"/>
      <c r="AR322" s="48"/>
      <c r="AS322" s="48"/>
      <c r="AT322" s="48"/>
      <c r="AU322" s="48"/>
      <c r="AV322" s="48"/>
      <c r="AW322" s="48"/>
      <c r="AX322" s="48"/>
      <c r="AY322" s="48"/>
      <c r="AZ322" s="48"/>
      <c r="BA322" s="48"/>
      <c r="BB322" s="48"/>
      <c r="BC322" s="48"/>
      <c r="BD322" s="48"/>
      <c r="BE322" s="40"/>
      <c r="BF322" s="40"/>
      <c r="BG322" s="71"/>
      <c r="BL322" s="40"/>
      <c r="BM322" s="40"/>
    </row>
    <row r="323" spans="7:65" x14ac:dyDescent="0.35">
      <c r="X323" s="40"/>
      <c r="Y323" s="40"/>
      <c r="AB323" s="40"/>
      <c r="AC323" s="40"/>
      <c r="AD323" s="40"/>
      <c r="AE323" s="18"/>
      <c r="AF323" s="18"/>
      <c r="AG323" s="18"/>
      <c r="AH323" s="18"/>
      <c r="AI323" s="18"/>
      <c r="AJ323" s="18"/>
      <c r="AK323" s="18"/>
      <c r="AL323" s="48"/>
      <c r="AM323" s="48"/>
      <c r="AN323" s="48"/>
      <c r="AO323" s="48"/>
      <c r="AP323" s="48"/>
      <c r="AQ323" s="48"/>
      <c r="AR323" s="48"/>
      <c r="AS323" s="48"/>
      <c r="AT323" s="48"/>
      <c r="AU323" s="48"/>
      <c r="AV323" s="48"/>
      <c r="AW323" s="48"/>
      <c r="AX323" s="48"/>
      <c r="AY323" s="48"/>
      <c r="AZ323" s="48"/>
      <c r="BA323" s="48"/>
      <c r="BB323" s="48"/>
      <c r="BC323" s="48"/>
      <c r="BD323" s="48"/>
      <c r="BE323" s="40"/>
      <c r="BF323" s="40"/>
      <c r="BG323" s="71"/>
      <c r="BL323" s="40"/>
      <c r="BM323" s="40"/>
    </row>
    <row r="324" spans="7:65" x14ac:dyDescent="0.35">
      <c r="G324" s="32"/>
      <c r="H324" s="32"/>
      <c r="I324" s="32"/>
      <c r="K324" s="32"/>
      <c r="L324" s="32"/>
      <c r="M324" s="32"/>
      <c r="N324" s="37"/>
      <c r="O324" s="37"/>
      <c r="P324" s="37"/>
      <c r="Q324" s="37"/>
      <c r="X324" s="40"/>
      <c r="Y324" s="40"/>
      <c r="AB324" s="40"/>
      <c r="AC324" s="40"/>
      <c r="AD324" s="40"/>
      <c r="AE324" s="18"/>
      <c r="AF324" s="18"/>
      <c r="AG324" s="18"/>
      <c r="AH324" s="18"/>
      <c r="AI324" s="18"/>
      <c r="AJ324" s="18"/>
      <c r="AK324" s="18"/>
      <c r="AL324" s="48"/>
      <c r="AM324" s="48"/>
      <c r="AN324" s="48"/>
      <c r="AO324" s="48"/>
      <c r="AP324" s="48"/>
      <c r="AQ324" s="48"/>
      <c r="AR324" s="48"/>
      <c r="AS324" s="48"/>
      <c r="AT324" s="48"/>
      <c r="AU324" s="48"/>
      <c r="AV324" s="48"/>
      <c r="AW324" s="48"/>
      <c r="AX324" s="48"/>
      <c r="AY324" s="48"/>
      <c r="AZ324" s="48"/>
      <c r="BA324" s="48"/>
      <c r="BB324" s="48"/>
      <c r="BC324" s="48"/>
      <c r="BD324" s="48"/>
      <c r="BE324" s="40"/>
      <c r="BF324" s="40"/>
      <c r="BG324" s="71"/>
      <c r="BL324" s="40"/>
      <c r="BM324" s="40"/>
    </row>
    <row r="325" spans="7:65" x14ac:dyDescent="0.35">
      <c r="G325" s="32"/>
      <c r="H325" s="32"/>
      <c r="I325" s="32"/>
      <c r="K325" s="32"/>
      <c r="L325" s="32"/>
      <c r="M325" s="32"/>
      <c r="N325" s="37"/>
      <c r="O325" s="37"/>
      <c r="P325" s="37"/>
      <c r="Q325" s="37"/>
      <c r="X325" s="40"/>
      <c r="Y325" s="40"/>
      <c r="AB325" s="40"/>
      <c r="AC325" s="40"/>
      <c r="AD325" s="40"/>
      <c r="AE325" s="18"/>
      <c r="AF325" s="18"/>
      <c r="AG325" s="18"/>
      <c r="AH325" s="18"/>
      <c r="AI325" s="18"/>
      <c r="AJ325" s="18"/>
      <c r="AK325" s="18"/>
      <c r="AL325" s="48"/>
      <c r="AM325" s="48"/>
      <c r="AN325" s="48"/>
      <c r="AO325" s="48"/>
      <c r="AP325" s="48"/>
      <c r="AQ325" s="48"/>
      <c r="AR325" s="48"/>
      <c r="AS325" s="48"/>
      <c r="AT325" s="48"/>
      <c r="AU325" s="48"/>
      <c r="AV325" s="48"/>
      <c r="AW325" s="48"/>
      <c r="AX325" s="48"/>
      <c r="AY325" s="48"/>
      <c r="AZ325" s="48"/>
      <c r="BA325" s="48"/>
      <c r="BB325" s="48"/>
      <c r="BC325" s="48"/>
      <c r="BD325" s="48"/>
      <c r="BE325" s="40"/>
      <c r="BF325" s="40"/>
      <c r="BG325" s="71"/>
      <c r="BL325" s="40"/>
      <c r="BM325" s="40"/>
    </row>
    <row r="326" spans="7:65" x14ac:dyDescent="0.35">
      <c r="G326" s="32"/>
      <c r="H326" s="32"/>
      <c r="I326" s="32"/>
      <c r="K326" s="32"/>
      <c r="L326" s="32"/>
      <c r="M326" s="32"/>
      <c r="N326" s="37"/>
      <c r="O326" s="37"/>
      <c r="P326" s="37"/>
      <c r="Q326" s="37"/>
      <c r="X326" s="40"/>
      <c r="Y326" s="40"/>
      <c r="AB326" s="40"/>
      <c r="AC326" s="40"/>
      <c r="AD326" s="40"/>
      <c r="AE326" s="18"/>
      <c r="AF326" s="18"/>
      <c r="AG326" s="18"/>
      <c r="AH326" s="18"/>
      <c r="AI326" s="18"/>
      <c r="AJ326" s="18"/>
      <c r="AK326" s="18"/>
      <c r="AL326" s="48"/>
      <c r="AM326" s="48"/>
      <c r="AN326" s="48"/>
      <c r="AO326" s="48"/>
      <c r="AP326" s="48"/>
      <c r="AQ326" s="48"/>
      <c r="AR326" s="48"/>
      <c r="AS326" s="48"/>
      <c r="AT326" s="48"/>
      <c r="AU326" s="48"/>
      <c r="AV326" s="48"/>
      <c r="AW326" s="48"/>
      <c r="AX326" s="48"/>
      <c r="AY326" s="48"/>
      <c r="AZ326" s="48"/>
      <c r="BA326" s="48"/>
      <c r="BB326" s="48"/>
      <c r="BC326" s="48"/>
      <c r="BD326" s="48"/>
      <c r="BE326" s="40"/>
      <c r="BF326" s="40"/>
      <c r="BG326" s="71"/>
      <c r="BL326" s="40"/>
      <c r="BM326" s="40"/>
    </row>
    <row r="327" spans="7:65" x14ac:dyDescent="0.35">
      <c r="G327" s="32"/>
      <c r="H327" s="32"/>
      <c r="I327" s="32"/>
      <c r="K327" s="32"/>
      <c r="L327" s="32"/>
      <c r="M327" s="32"/>
      <c r="N327" s="37"/>
      <c r="O327" s="37"/>
      <c r="P327" s="37"/>
      <c r="Q327" s="37"/>
      <c r="X327" s="40"/>
      <c r="Y327" s="40"/>
      <c r="AB327" s="40"/>
      <c r="AC327" s="40"/>
      <c r="AD327" s="40"/>
      <c r="AE327" s="18"/>
      <c r="AF327" s="18"/>
      <c r="AG327" s="18"/>
      <c r="AH327" s="18"/>
      <c r="AI327" s="18"/>
      <c r="AJ327" s="18"/>
      <c r="AK327" s="18"/>
      <c r="AL327" s="48"/>
      <c r="AM327" s="48"/>
      <c r="AN327" s="48"/>
      <c r="AO327" s="48"/>
      <c r="AP327" s="48"/>
      <c r="AQ327" s="48"/>
      <c r="AR327" s="48"/>
      <c r="AS327" s="48"/>
      <c r="AT327" s="48"/>
      <c r="AU327" s="48"/>
      <c r="AV327" s="48"/>
      <c r="AW327" s="48"/>
      <c r="AX327" s="48"/>
      <c r="AY327" s="48"/>
      <c r="AZ327" s="48"/>
      <c r="BA327" s="48"/>
      <c r="BB327" s="48"/>
      <c r="BC327" s="48"/>
      <c r="BD327" s="48"/>
      <c r="BE327" s="40"/>
      <c r="BF327" s="40"/>
      <c r="BG327" s="71"/>
      <c r="BL327" s="40"/>
      <c r="BM327" s="40"/>
    </row>
    <row r="328" spans="7:65" x14ac:dyDescent="0.35">
      <c r="G328" s="32"/>
      <c r="H328" s="32"/>
      <c r="I328" s="32"/>
      <c r="K328" s="32"/>
      <c r="L328" s="32"/>
      <c r="M328" s="32"/>
      <c r="N328" s="37"/>
      <c r="O328" s="37"/>
      <c r="P328" s="37"/>
      <c r="Q328" s="37"/>
      <c r="X328" s="40"/>
      <c r="Y328" s="40"/>
      <c r="AB328" s="40"/>
      <c r="AC328" s="40"/>
      <c r="AD328" s="40"/>
      <c r="AE328" s="18"/>
      <c r="AF328" s="18"/>
      <c r="AG328" s="18"/>
      <c r="AH328" s="18"/>
      <c r="AI328" s="18"/>
      <c r="AJ328" s="18"/>
      <c r="AK328" s="18"/>
      <c r="AL328" s="48"/>
      <c r="AM328" s="48"/>
      <c r="AN328" s="48"/>
      <c r="AO328" s="48"/>
      <c r="AP328" s="48"/>
      <c r="AQ328" s="48"/>
      <c r="AR328" s="48"/>
      <c r="AS328" s="48"/>
      <c r="AT328" s="48"/>
      <c r="AU328" s="48"/>
      <c r="AV328" s="48"/>
      <c r="AW328" s="48"/>
      <c r="AX328" s="48"/>
      <c r="AY328" s="48"/>
      <c r="AZ328" s="48"/>
      <c r="BA328" s="48"/>
      <c r="BB328" s="48"/>
      <c r="BC328" s="48"/>
      <c r="BD328" s="48"/>
      <c r="BE328" s="40"/>
      <c r="BF328" s="40"/>
      <c r="BG328" s="71"/>
      <c r="BL328" s="40"/>
      <c r="BM328" s="40"/>
    </row>
    <row r="329" spans="7:65" x14ac:dyDescent="0.35">
      <c r="G329" s="32"/>
      <c r="H329" s="32"/>
      <c r="I329" s="32"/>
      <c r="K329" s="32"/>
      <c r="L329" s="32"/>
      <c r="M329" s="32"/>
      <c r="N329" s="37"/>
      <c r="O329" s="37"/>
      <c r="P329" s="37"/>
      <c r="Q329" s="37"/>
      <c r="X329" s="40"/>
      <c r="Y329" s="40"/>
      <c r="AB329" s="40"/>
      <c r="AC329" s="40"/>
      <c r="AD329" s="40"/>
      <c r="AE329" s="18"/>
      <c r="AF329" s="18"/>
      <c r="AG329" s="18"/>
      <c r="AH329" s="18"/>
      <c r="AI329" s="18"/>
      <c r="AJ329" s="18"/>
      <c r="AK329" s="18"/>
      <c r="AL329" s="48"/>
      <c r="AM329" s="48"/>
      <c r="AN329" s="48"/>
      <c r="AO329" s="48"/>
      <c r="AP329" s="48"/>
      <c r="AQ329" s="48"/>
      <c r="AR329" s="48"/>
      <c r="AS329" s="48"/>
      <c r="AT329" s="48"/>
      <c r="AU329" s="48"/>
      <c r="AV329" s="48"/>
      <c r="AW329" s="48"/>
      <c r="AX329" s="48"/>
      <c r="AY329" s="48"/>
      <c r="AZ329" s="48"/>
      <c r="BA329" s="48"/>
      <c r="BB329" s="48"/>
      <c r="BC329" s="48"/>
      <c r="BD329" s="48"/>
      <c r="BE329" s="40"/>
      <c r="BF329" s="40"/>
      <c r="BG329" s="71"/>
      <c r="BL329" s="40"/>
      <c r="BM329" s="40"/>
    </row>
    <row r="330" spans="7:65" x14ac:dyDescent="0.35">
      <c r="G330" s="32"/>
      <c r="H330" s="32"/>
      <c r="I330" s="32"/>
      <c r="K330" s="32"/>
      <c r="L330" s="32"/>
      <c r="M330" s="32"/>
      <c r="N330" s="37"/>
      <c r="O330" s="37"/>
      <c r="P330" s="37"/>
      <c r="Q330" s="37"/>
      <c r="X330" s="40"/>
      <c r="Y330" s="40"/>
      <c r="AB330" s="40"/>
      <c r="AC330" s="40"/>
      <c r="AD330" s="40"/>
      <c r="AE330" s="18"/>
      <c r="AF330" s="18"/>
      <c r="AG330" s="18"/>
      <c r="AH330" s="18"/>
      <c r="AI330" s="18"/>
      <c r="AJ330" s="18"/>
      <c r="AK330" s="18"/>
      <c r="AL330" s="48"/>
      <c r="AM330" s="48"/>
      <c r="AN330" s="48"/>
      <c r="AO330" s="48"/>
      <c r="AP330" s="48"/>
      <c r="AQ330" s="48"/>
      <c r="AR330" s="48"/>
      <c r="AS330" s="48"/>
      <c r="AT330" s="48"/>
      <c r="AU330" s="48"/>
      <c r="AV330" s="48"/>
      <c r="AW330" s="48"/>
      <c r="AX330" s="48"/>
      <c r="AY330" s="48"/>
      <c r="AZ330" s="48"/>
      <c r="BA330" s="48"/>
      <c r="BB330" s="48"/>
      <c r="BC330" s="48"/>
      <c r="BD330" s="48"/>
      <c r="BE330" s="40"/>
      <c r="BF330" s="40"/>
      <c r="BG330" s="71"/>
      <c r="BL330" s="40"/>
      <c r="BM330" s="40"/>
    </row>
    <row r="331" spans="7:65" x14ac:dyDescent="0.35">
      <c r="G331" s="32"/>
      <c r="H331" s="32"/>
      <c r="I331" s="32"/>
      <c r="K331" s="32"/>
      <c r="L331" s="32"/>
      <c r="M331" s="32"/>
      <c r="N331" s="37"/>
      <c r="O331" s="37"/>
      <c r="P331" s="37"/>
      <c r="Q331" s="37"/>
      <c r="X331" s="40"/>
      <c r="Y331" s="40"/>
      <c r="AB331" s="40"/>
      <c r="AC331" s="40"/>
      <c r="AD331" s="40"/>
      <c r="AE331" s="18"/>
      <c r="AF331" s="18"/>
      <c r="AG331" s="18"/>
      <c r="AH331" s="18"/>
      <c r="AI331" s="18"/>
      <c r="AJ331" s="18"/>
      <c r="AK331" s="18"/>
      <c r="AL331" s="48"/>
      <c r="AM331" s="48"/>
      <c r="AN331" s="48"/>
      <c r="AO331" s="48"/>
      <c r="AP331" s="48"/>
      <c r="AQ331" s="48"/>
      <c r="AR331" s="48"/>
      <c r="AS331" s="48"/>
      <c r="AT331" s="48"/>
      <c r="AU331" s="48"/>
      <c r="AV331" s="48"/>
      <c r="AW331" s="48"/>
      <c r="AX331" s="48"/>
      <c r="AY331" s="48"/>
      <c r="AZ331" s="48"/>
      <c r="BA331" s="48"/>
      <c r="BB331" s="48"/>
      <c r="BC331" s="48"/>
      <c r="BD331" s="48"/>
      <c r="BE331" s="40"/>
      <c r="BF331" s="40"/>
      <c r="BG331" s="71"/>
      <c r="BL331" s="40"/>
      <c r="BM331" s="40"/>
    </row>
    <row r="332" spans="7:65" x14ac:dyDescent="0.35">
      <c r="G332" s="32"/>
      <c r="H332" s="32"/>
      <c r="I332" s="32"/>
      <c r="K332" s="32"/>
      <c r="L332" s="32"/>
      <c r="M332" s="32"/>
      <c r="N332" s="37"/>
      <c r="O332" s="37"/>
      <c r="P332" s="37"/>
      <c r="Q332" s="37"/>
      <c r="X332" s="40"/>
      <c r="Y332" s="40"/>
      <c r="AB332" s="40"/>
      <c r="AC332" s="40"/>
      <c r="AD332" s="40"/>
      <c r="AE332" s="18"/>
      <c r="AF332" s="18"/>
      <c r="AG332" s="18"/>
      <c r="AH332" s="18"/>
      <c r="AI332" s="18"/>
      <c r="AJ332" s="18"/>
      <c r="AK332" s="18"/>
      <c r="AL332" s="48"/>
      <c r="AM332" s="48"/>
      <c r="AN332" s="48"/>
      <c r="AO332" s="48"/>
      <c r="AP332" s="48"/>
      <c r="AQ332" s="48"/>
      <c r="AR332" s="48"/>
      <c r="AS332" s="48"/>
      <c r="AT332" s="48"/>
      <c r="AU332" s="48"/>
      <c r="AV332" s="48"/>
      <c r="AW332" s="48"/>
      <c r="AX332" s="48"/>
      <c r="AY332" s="48"/>
      <c r="AZ332" s="48"/>
      <c r="BA332" s="48"/>
      <c r="BB332" s="48"/>
      <c r="BC332" s="48"/>
      <c r="BD332" s="48"/>
      <c r="BE332" s="40"/>
      <c r="BF332" s="40"/>
      <c r="BG332" s="71"/>
      <c r="BL332" s="40"/>
      <c r="BM332" s="40"/>
    </row>
    <row r="333" spans="7:65" x14ac:dyDescent="0.35">
      <c r="G333" s="32"/>
      <c r="H333" s="32"/>
      <c r="I333" s="32"/>
      <c r="K333" s="32"/>
      <c r="L333" s="32"/>
      <c r="M333" s="32"/>
      <c r="N333" s="37"/>
      <c r="O333" s="37"/>
      <c r="P333" s="37"/>
      <c r="Q333" s="37"/>
      <c r="X333" s="40"/>
      <c r="Y333" s="40"/>
      <c r="AB333" s="40"/>
      <c r="AC333" s="40"/>
      <c r="AD333" s="40"/>
      <c r="AE333" s="18"/>
      <c r="AF333" s="18"/>
      <c r="AG333" s="18"/>
      <c r="AH333" s="18"/>
      <c r="AI333" s="18"/>
      <c r="AJ333" s="18"/>
      <c r="AK333" s="18"/>
      <c r="AL333" s="48"/>
      <c r="AM333" s="48"/>
      <c r="AN333" s="48"/>
      <c r="AO333" s="48"/>
      <c r="AP333" s="48"/>
      <c r="AQ333" s="48"/>
      <c r="AR333" s="48"/>
      <c r="AS333" s="48"/>
      <c r="AT333" s="48"/>
      <c r="AU333" s="48"/>
      <c r="AV333" s="48"/>
      <c r="AW333" s="48"/>
      <c r="AX333" s="48"/>
      <c r="AY333" s="48"/>
      <c r="AZ333" s="48"/>
      <c r="BA333" s="48"/>
      <c r="BB333" s="48"/>
      <c r="BC333" s="48"/>
      <c r="BD333" s="48"/>
      <c r="BE333" s="40"/>
      <c r="BF333" s="40"/>
      <c r="BG333" s="71"/>
      <c r="BL333" s="40"/>
      <c r="BM333" s="40"/>
    </row>
    <row r="334" spans="7:65" x14ac:dyDescent="0.35">
      <c r="G334" s="32"/>
      <c r="H334" s="32"/>
      <c r="I334" s="32"/>
      <c r="K334" s="32"/>
      <c r="L334" s="32"/>
      <c r="M334" s="32"/>
      <c r="N334" s="37"/>
      <c r="O334" s="37"/>
      <c r="P334" s="37"/>
      <c r="Q334" s="37"/>
      <c r="X334" s="40"/>
      <c r="Y334" s="40"/>
      <c r="AB334" s="40"/>
      <c r="AC334" s="40"/>
      <c r="AD334" s="40"/>
      <c r="AE334" s="18"/>
      <c r="AF334" s="18"/>
      <c r="AG334" s="18"/>
      <c r="AH334" s="18"/>
      <c r="AI334" s="18"/>
      <c r="AJ334" s="18"/>
      <c r="AK334" s="18"/>
      <c r="AL334" s="48"/>
      <c r="AM334" s="48"/>
      <c r="AN334" s="48"/>
      <c r="AO334" s="48"/>
      <c r="AP334" s="48"/>
      <c r="AQ334" s="48"/>
      <c r="AR334" s="48"/>
      <c r="AS334" s="48"/>
      <c r="AT334" s="48"/>
      <c r="AU334" s="48"/>
      <c r="AV334" s="48"/>
      <c r="AW334" s="48"/>
      <c r="AX334" s="48"/>
      <c r="AY334" s="48"/>
      <c r="AZ334" s="48"/>
      <c r="BA334" s="48"/>
      <c r="BB334" s="48"/>
      <c r="BC334" s="48"/>
      <c r="BD334" s="48"/>
      <c r="BE334" s="40"/>
      <c r="BF334" s="40"/>
      <c r="BG334" s="71"/>
      <c r="BL334" s="40"/>
      <c r="BM334" s="40"/>
    </row>
    <row r="335" spans="7:65" x14ac:dyDescent="0.35">
      <c r="X335" s="40"/>
      <c r="Y335" s="40"/>
      <c r="AE335" s="18"/>
      <c r="AF335" s="18"/>
      <c r="AG335" s="18"/>
      <c r="AH335" s="18"/>
      <c r="AI335" s="18"/>
      <c r="AJ335" s="18"/>
      <c r="AK335" s="18"/>
      <c r="AQ335" s="48"/>
      <c r="AR335" s="48"/>
      <c r="AS335" s="48"/>
      <c r="AT335" s="48"/>
      <c r="AU335" s="48"/>
      <c r="AV335" s="48"/>
      <c r="AW335" s="48"/>
      <c r="AX335" s="48"/>
      <c r="AY335" s="48"/>
      <c r="AZ335" s="48"/>
      <c r="BA335" s="48"/>
      <c r="BB335" s="48"/>
      <c r="BC335" s="48"/>
      <c r="BD335" s="48"/>
      <c r="BE335" s="40"/>
      <c r="BF335" s="40"/>
      <c r="BG335" s="71"/>
      <c r="BL335" s="40"/>
      <c r="BM335" s="40"/>
    </row>
    <row r="336" spans="7:65" x14ac:dyDescent="0.35">
      <c r="X336" s="40"/>
      <c r="Y336" s="40"/>
      <c r="AE336" s="18"/>
      <c r="AF336" s="18"/>
      <c r="AG336" s="18"/>
      <c r="AH336" s="18"/>
      <c r="AI336" s="18"/>
      <c r="AJ336" s="18"/>
      <c r="AK336" s="18"/>
      <c r="AQ336" s="48"/>
      <c r="AR336" s="48"/>
      <c r="AS336" s="48"/>
      <c r="AT336" s="48"/>
      <c r="AU336" s="48"/>
      <c r="AV336" s="48"/>
      <c r="AW336" s="48"/>
      <c r="AX336" s="48"/>
      <c r="AY336" s="48"/>
      <c r="AZ336" s="48"/>
      <c r="BA336" s="48"/>
      <c r="BB336" s="48"/>
      <c r="BC336" s="48"/>
      <c r="BD336" s="48"/>
      <c r="BE336" s="40"/>
      <c r="BF336" s="40"/>
      <c r="BG336" s="71"/>
      <c r="BL336" s="40"/>
      <c r="BM336" s="40"/>
    </row>
    <row r="337" spans="7:65" ht="29.2" customHeight="1" x14ac:dyDescent="0.35">
      <c r="G337" s="32"/>
      <c r="H337" s="32"/>
      <c r="I337" s="32"/>
      <c r="K337" s="32"/>
      <c r="L337" s="32"/>
      <c r="M337" s="32"/>
      <c r="N337" s="37"/>
      <c r="O337" s="37"/>
      <c r="P337" s="37"/>
      <c r="Q337" s="37"/>
      <c r="X337" s="40"/>
      <c r="Y337" s="40"/>
      <c r="AE337" s="18"/>
      <c r="AF337" s="18"/>
      <c r="AG337" s="18"/>
      <c r="AH337" s="18"/>
      <c r="AI337" s="18"/>
      <c r="AJ337" s="18"/>
      <c r="AK337" s="18"/>
      <c r="AQ337" s="48"/>
      <c r="AR337" s="48"/>
      <c r="AS337" s="48"/>
      <c r="AT337" s="48"/>
      <c r="AU337" s="48"/>
      <c r="AV337" s="48"/>
      <c r="AW337" s="48"/>
      <c r="AX337" s="48"/>
      <c r="AY337" s="48"/>
      <c r="AZ337" s="48"/>
      <c r="BA337" s="48"/>
      <c r="BB337" s="48"/>
      <c r="BC337" s="48"/>
      <c r="BD337" s="48"/>
      <c r="BE337" s="40"/>
      <c r="BF337" s="40"/>
      <c r="BG337" s="71"/>
      <c r="BL337" s="40"/>
      <c r="BM337" s="40"/>
    </row>
    <row r="338" spans="7:65" x14ac:dyDescent="0.35">
      <c r="G338" s="32"/>
      <c r="H338" s="32"/>
      <c r="I338" s="32"/>
      <c r="K338" s="32"/>
      <c r="L338" s="32"/>
      <c r="M338" s="32"/>
      <c r="N338" s="37"/>
      <c r="O338" s="37"/>
      <c r="P338" s="37"/>
      <c r="Q338" s="37"/>
      <c r="X338" s="40"/>
      <c r="Y338" s="40"/>
      <c r="AE338" s="18"/>
      <c r="AF338" s="18"/>
      <c r="AG338" s="18"/>
      <c r="AH338" s="18"/>
      <c r="AI338" s="18"/>
      <c r="AJ338" s="18"/>
      <c r="AK338" s="18"/>
      <c r="AQ338" s="48"/>
      <c r="AR338" s="48"/>
      <c r="AS338" s="48"/>
      <c r="AT338" s="48"/>
      <c r="AU338" s="48"/>
      <c r="AV338" s="48"/>
      <c r="AW338" s="48"/>
      <c r="AX338" s="48"/>
      <c r="AY338" s="48"/>
      <c r="AZ338" s="48"/>
      <c r="BA338" s="48"/>
      <c r="BB338" s="48"/>
      <c r="BC338" s="48"/>
      <c r="BD338" s="48"/>
      <c r="BE338" s="40"/>
      <c r="BF338" s="40"/>
      <c r="BG338" s="71"/>
      <c r="BL338" s="40"/>
      <c r="BM338" s="40"/>
    </row>
    <row r="339" spans="7:65" x14ac:dyDescent="0.35">
      <c r="G339" s="32"/>
      <c r="H339" s="32"/>
      <c r="I339" s="32"/>
      <c r="K339" s="32"/>
      <c r="L339" s="32"/>
      <c r="M339" s="32"/>
      <c r="N339" s="37"/>
      <c r="O339" s="37"/>
      <c r="P339" s="37"/>
      <c r="Q339" s="37"/>
      <c r="X339" s="40"/>
      <c r="Y339" s="40"/>
      <c r="AE339" s="18"/>
      <c r="AF339" s="18"/>
      <c r="AG339" s="18"/>
      <c r="AH339" s="18"/>
      <c r="AI339" s="18"/>
      <c r="AJ339" s="18"/>
      <c r="AK339" s="18"/>
      <c r="AQ339" s="48"/>
      <c r="AR339" s="48"/>
      <c r="AS339" s="48"/>
      <c r="AT339" s="48"/>
      <c r="AU339" s="48"/>
      <c r="AV339" s="48"/>
      <c r="AW339" s="48"/>
      <c r="AX339" s="48"/>
      <c r="AY339" s="48"/>
      <c r="AZ339" s="48"/>
      <c r="BA339" s="48"/>
      <c r="BB339" s="48"/>
      <c r="BC339" s="48"/>
      <c r="BD339" s="48"/>
      <c r="BE339" s="40"/>
      <c r="BF339" s="40"/>
      <c r="BG339" s="71"/>
      <c r="BL339" s="40"/>
      <c r="BM339" s="40"/>
    </row>
    <row r="340" spans="7:65" x14ac:dyDescent="0.35">
      <c r="G340" s="32"/>
      <c r="H340" s="32"/>
      <c r="I340" s="32"/>
      <c r="K340" s="32"/>
      <c r="L340" s="32"/>
      <c r="M340" s="32"/>
      <c r="N340" s="37"/>
      <c r="O340" s="37"/>
      <c r="P340" s="37"/>
      <c r="Q340" s="37"/>
      <c r="X340" s="40"/>
      <c r="Y340" s="40"/>
      <c r="AE340" s="18"/>
      <c r="AF340" s="18"/>
      <c r="AG340" s="18"/>
      <c r="AH340" s="18"/>
      <c r="AI340" s="18"/>
      <c r="AJ340" s="18"/>
      <c r="AK340" s="18"/>
      <c r="AQ340" s="48"/>
      <c r="AR340" s="48"/>
      <c r="AS340" s="48"/>
      <c r="AT340" s="48"/>
      <c r="AU340" s="48"/>
      <c r="AV340" s="48"/>
      <c r="AW340" s="48"/>
      <c r="AX340" s="48"/>
      <c r="AY340" s="48"/>
      <c r="AZ340" s="48"/>
      <c r="BA340" s="48"/>
      <c r="BB340" s="48"/>
      <c r="BC340" s="48"/>
      <c r="BD340" s="48"/>
      <c r="BE340" s="40"/>
      <c r="BF340" s="40"/>
      <c r="BG340" s="71"/>
      <c r="BL340" s="40"/>
      <c r="BM340" s="40"/>
    </row>
    <row r="341" spans="7:65" x14ac:dyDescent="0.35">
      <c r="G341" s="32"/>
      <c r="H341" s="32"/>
      <c r="I341" s="32"/>
      <c r="K341" s="32"/>
      <c r="L341" s="32"/>
      <c r="M341" s="32"/>
      <c r="N341" s="37"/>
      <c r="O341" s="37"/>
      <c r="P341" s="37"/>
      <c r="Q341" s="37"/>
      <c r="X341" s="40"/>
      <c r="Y341" s="40"/>
      <c r="AE341" s="18"/>
      <c r="AF341" s="18"/>
      <c r="AG341" s="18"/>
      <c r="AH341" s="18"/>
      <c r="AI341" s="18"/>
      <c r="AJ341" s="18"/>
      <c r="AK341" s="18"/>
      <c r="AQ341" s="48"/>
      <c r="AR341" s="48"/>
      <c r="AS341" s="48"/>
      <c r="AT341" s="48"/>
      <c r="AU341" s="48"/>
      <c r="AV341" s="48"/>
      <c r="AW341" s="48"/>
      <c r="AX341" s="48"/>
      <c r="AY341" s="48"/>
      <c r="AZ341" s="48"/>
      <c r="BA341" s="48"/>
      <c r="BB341" s="48"/>
      <c r="BC341" s="48"/>
      <c r="BD341" s="48"/>
      <c r="BE341" s="40"/>
      <c r="BF341" s="40"/>
      <c r="BG341" s="71"/>
      <c r="BL341" s="40"/>
      <c r="BM341" s="40"/>
    </row>
    <row r="342" spans="7:65" x14ac:dyDescent="0.35">
      <c r="G342" s="32"/>
      <c r="H342" s="32"/>
      <c r="I342" s="32"/>
      <c r="K342" s="32"/>
      <c r="L342" s="32"/>
      <c r="M342" s="32"/>
      <c r="N342" s="37"/>
      <c r="O342" s="37"/>
      <c r="P342" s="37"/>
      <c r="Q342" s="37"/>
      <c r="X342" s="40"/>
      <c r="Y342" s="40"/>
      <c r="AE342" s="18"/>
      <c r="AF342" s="18"/>
      <c r="AG342" s="18"/>
      <c r="AH342" s="18"/>
      <c r="AI342" s="18"/>
      <c r="AJ342" s="18"/>
      <c r="AK342" s="18"/>
      <c r="AQ342" s="48"/>
      <c r="AR342" s="48"/>
      <c r="AS342" s="48"/>
      <c r="AT342" s="48"/>
      <c r="AU342" s="48"/>
      <c r="AV342" s="48"/>
      <c r="AW342" s="48"/>
      <c r="AX342" s="48"/>
      <c r="AY342" s="48"/>
      <c r="AZ342" s="48"/>
      <c r="BA342" s="48"/>
      <c r="BB342" s="48"/>
      <c r="BC342" s="48"/>
      <c r="BD342" s="48"/>
      <c r="BE342" s="40"/>
      <c r="BF342" s="40"/>
      <c r="BG342" s="71"/>
      <c r="BL342" s="40"/>
      <c r="BM342" s="40"/>
    </row>
    <row r="343" spans="7:65" x14ac:dyDescent="0.35">
      <c r="G343" s="32"/>
      <c r="H343" s="32"/>
      <c r="I343" s="32"/>
      <c r="K343" s="32"/>
      <c r="L343" s="32"/>
      <c r="M343" s="32"/>
      <c r="N343" s="37"/>
      <c r="O343" s="37"/>
      <c r="P343" s="37"/>
      <c r="Q343" s="37"/>
      <c r="X343" s="40"/>
      <c r="Y343" s="40"/>
      <c r="AE343" s="18"/>
      <c r="AF343" s="18"/>
      <c r="AG343" s="18"/>
      <c r="AH343" s="18"/>
      <c r="AI343" s="18"/>
      <c r="AJ343" s="18"/>
      <c r="AK343" s="18"/>
      <c r="AQ343" s="48"/>
      <c r="AR343" s="48"/>
      <c r="AS343" s="48"/>
      <c r="AT343" s="48"/>
      <c r="AU343" s="48"/>
      <c r="AV343" s="48"/>
      <c r="AW343" s="48"/>
      <c r="AX343" s="48"/>
      <c r="AY343" s="48"/>
      <c r="AZ343" s="48"/>
      <c r="BA343" s="48"/>
      <c r="BB343" s="48"/>
      <c r="BC343" s="48"/>
      <c r="BD343" s="48"/>
      <c r="BE343" s="40"/>
      <c r="BF343" s="40"/>
      <c r="BG343" s="71"/>
      <c r="BL343" s="40"/>
      <c r="BM343" s="40"/>
    </row>
    <row r="344" spans="7:65" x14ac:dyDescent="0.35">
      <c r="X344" s="40"/>
      <c r="Y344" s="40"/>
      <c r="AE344" s="18"/>
      <c r="AF344" s="18"/>
      <c r="AG344" s="18"/>
      <c r="AH344" s="18"/>
      <c r="AI344" s="18"/>
      <c r="AJ344" s="18"/>
      <c r="AK344" s="18"/>
      <c r="AQ344" s="48"/>
      <c r="AR344" s="48"/>
      <c r="AS344" s="48"/>
      <c r="AT344" s="48"/>
      <c r="AU344" s="48"/>
      <c r="AV344" s="48"/>
      <c r="AW344" s="48"/>
      <c r="AX344" s="48"/>
      <c r="AY344" s="48"/>
      <c r="AZ344" s="48"/>
      <c r="BA344" s="48"/>
      <c r="BB344" s="48"/>
      <c r="BC344" s="48"/>
      <c r="BD344" s="48"/>
      <c r="BE344" s="40"/>
      <c r="BF344" s="40"/>
      <c r="BG344" s="71"/>
      <c r="BL344" s="40"/>
      <c r="BM344" s="40"/>
    </row>
    <row r="345" spans="7:65" x14ac:dyDescent="0.35">
      <c r="X345" s="40"/>
      <c r="Y345" s="40"/>
      <c r="AE345" s="18"/>
      <c r="AF345" s="18"/>
      <c r="AG345" s="18"/>
      <c r="AH345" s="18"/>
      <c r="AI345" s="18"/>
      <c r="AJ345" s="18"/>
      <c r="AK345" s="18"/>
      <c r="AQ345" s="48"/>
      <c r="AR345" s="48"/>
      <c r="AS345" s="48"/>
      <c r="AT345" s="48"/>
      <c r="AU345" s="48"/>
      <c r="AV345" s="48"/>
      <c r="AW345" s="48"/>
      <c r="AX345" s="48"/>
      <c r="AY345" s="48"/>
      <c r="AZ345" s="48"/>
      <c r="BA345" s="48"/>
      <c r="BB345" s="48"/>
      <c r="BC345" s="48"/>
      <c r="BD345" s="48"/>
      <c r="BE345" s="40"/>
      <c r="BF345" s="40"/>
      <c r="BG345" s="71"/>
      <c r="BL345" s="40"/>
      <c r="BM345" s="40"/>
    </row>
    <row r="346" spans="7:65" x14ac:dyDescent="0.35">
      <c r="G346" s="32"/>
      <c r="H346" s="32"/>
      <c r="I346" s="32"/>
      <c r="K346" s="32"/>
      <c r="L346" s="32"/>
      <c r="M346" s="32"/>
      <c r="N346" s="37"/>
      <c r="O346" s="37"/>
      <c r="P346" s="37"/>
      <c r="Q346" s="37"/>
      <c r="X346" s="40"/>
      <c r="Y346" s="40"/>
      <c r="AE346" s="18"/>
      <c r="AF346" s="18"/>
      <c r="AG346" s="18"/>
      <c r="AH346" s="18"/>
      <c r="AI346" s="18"/>
      <c r="AJ346" s="18"/>
      <c r="AK346" s="18"/>
      <c r="AQ346" s="48"/>
      <c r="AR346" s="48"/>
      <c r="AS346" s="48"/>
      <c r="AT346" s="48"/>
      <c r="AU346" s="48"/>
      <c r="AV346" s="48"/>
      <c r="AW346" s="48"/>
      <c r="AX346" s="48"/>
      <c r="AY346" s="48"/>
      <c r="AZ346" s="48"/>
      <c r="BA346" s="48"/>
      <c r="BB346" s="48"/>
      <c r="BC346" s="48"/>
      <c r="BD346" s="48"/>
      <c r="BE346" s="40"/>
      <c r="BF346" s="40"/>
      <c r="BG346" s="71"/>
      <c r="BL346" s="40"/>
      <c r="BM346" s="40"/>
    </row>
    <row r="347" spans="7:65" x14ac:dyDescent="0.35">
      <c r="G347" s="32"/>
      <c r="H347" s="32"/>
      <c r="I347" s="32"/>
      <c r="K347" s="32"/>
      <c r="L347" s="32"/>
      <c r="M347" s="32"/>
      <c r="N347" s="37"/>
      <c r="O347" s="37"/>
      <c r="P347" s="37"/>
      <c r="Q347" s="37"/>
      <c r="X347" s="40"/>
      <c r="Y347" s="40"/>
      <c r="AE347" s="18"/>
      <c r="AF347" s="18"/>
      <c r="AG347" s="18"/>
      <c r="AH347" s="18"/>
      <c r="AI347" s="18"/>
      <c r="AJ347" s="18"/>
      <c r="AK347" s="18"/>
      <c r="AQ347" s="48"/>
      <c r="AR347" s="48"/>
      <c r="AS347" s="48"/>
      <c r="AT347" s="48"/>
      <c r="AU347" s="48"/>
      <c r="AV347" s="48"/>
      <c r="AW347" s="48"/>
      <c r="AX347" s="48"/>
      <c r="AY347" s="48"/>
      <c r="AZ347" s="48"/>
      <c r="BA347" s="48"/>
      <c r="BB347" s="48"/>
      <c r="BC347" s="48"/>
      <c r="BD347" s="48"/>
      <c r="BE347" s="40"/>
      <c r="BF347" s="40"/>
      <c r="BG347" s="71"/>
      <c r="BL347" s="40"/>
      <c r="BM347" s="40"/>
    </row>
    <row r="348" spans="7:65" x14ac:dyDescent="0.35">
      <c r="G348" s="32"/>
      <c r="H348" s="32"/>
      <c r="I348" s="32"/>
      <c r="K348" s="32"/>
      <c r="L348" s="32"/>
      <c r="M348" s="32"/>
      <c r="N348" s="37"/>
      <c r="O348" s="37"/>
      <c r="P348" s="37"/>
      <c r="Q348" s="37"/>
      <c r="X348" s="40"/>
      <c r="Y348" s="40"/>
      <c r="AE348" s="18"/>
      <c r="AF348" s="18"/>
      <c r="AG348" s="18"/>
      <c r="AH348" s="18"/>
      <c r="AI348" s="18"/>
      <c r="AJ348" s="18"/>
      <c r="AK348" s="18"/>
      <c r="AQ348" s="48"/>
      <c r="AR348" s="48"/>
      <c r="AS348" s="48"/>
      <c r="AT348" s="48"/>
      <c r="AU348" s="48"/>
      <c r="AV348" s="48"/>
      <c r="AW348" s="48"/>
      <c r="AX348" s="48"/>
      <c r="AY348" s="48"/>
      <c r="AZ348" s="48"/>
      <c r="BA348" s="48"/>
      <c r="BB348" s="48"/>
      <c r="BC348" s="48"/>
      <c r="BD348" s="48"/>
      <c r="BE348" s="40"/>
      <c r="BF348" s="40"/>
      <c r="BG348" s="71"/>
      <c r="BL348" s="40"/>
      <c r="BM348" s="40"/>
    </row>
    <row r="349" spans="7:65" x14ac:dyDescent="0.35">
      <c r="G349" s="32"/>
      <c r="H349" s="32"/>
      <c r="I349" s="32"/>
      <c r="K349" s="32"/>
      <c r="L349" s="32"/>
      <c r="M349" s="32"/>
      <c r="N349" s="37"/>
      <c r="O349" s="37"/>
      <c r="P349" s="37"/>
      <c r="Q349" s="37"/>
      <c r="X349" s="40"/>
      <c r="Y349" s="40"/>
      <c r="AE349" s="18"/>
      <c r="AF349" s="18"/>
      <c r="AG349" s="18"/>
      <c r="AH349" s="18"/>
      <c r="AI349" s="18"/>
      <c r="AJ349" s="18"/>
      <c r="AK349" s="18"/>
      <c r="AQ349" s="48"/>
      <c r="AR349" s="48"/>
      <c r="AS349" s="48"/>
      <c r="AT349" s="48"/>
      <c r="AU349" s="48"/>
      <c r="AV349" s="48"/>
      <c r="AW349" s="48"/>
      <c r="AX349" s="48"/>
      <c r="AY349" s="48"/>
      <c r="AZ349" s="48"/>
      <c r="BA349" s="48"/>
      <c r="BB349" s="48"/>
      <c r="BC349" s="48"/>
      <c r="BD349" s="48"/>
      <c r="BE349" s="40"/>
      <c r="BF349" s="40"/>
      <c r="BG349" s="71"/>
      <c r="BL349" s="40"/>
      <c r="BM349" s="40"/>
    </row>
    <row r="350" spans="7:65" x14ac:dyDescent="0.35">
      <c r="G350" s="32"/>
      <c r="H350" s="32"/>
      <c r="I350" s="32"/>
      <c r="K350" s="32"/>
      <c r="L350" s="32"/>
      <c r="M350" s="32"/>
      <c r="N350" s="37"/>
      <c r="O350" s="37"/>
      <c r="P350" s="37"/>
      <c r="Q350" s="37"/>
      <c r="X350" s="40"/>
      <c r="Y350" s="40"/>
      <c r="AE350" s="18"/>
      <c r="AF350" s="18"/>
      <c r="AG350" s="18"/>
      <c r="AH350" s="18"/>
      <c r="AI350" s="18"/>
      <c r="AJ350" s="18"/>
      <c r="AK350" s="18"/>
      <c r="AQ350" s="48"/>
      <c r="AR350" s="48"/>
      <c r="AS350" s="48"/>
      <c r="AT350" s="48"/>
      <c r="AU350" s="48"/>
      <c r="AV350" s="48"/>
      <c r="AW350" s="48"/>
      <c r="AX350" s="48"/>
      <c r="AY350" s="48"/>
      <c r="AZ350" s="48"/>
      <c r="BA350" s="48"/>
      <c r="BB350" s="48"/>
      <c r="BC350" s="48"/>
      <c r="BD350" s="48"/>
      <c r="BE350" s="40"/>
      <c r="BF350" s="40"/>
      <c r="BG350" s="71"/>
      <c r="BL350" s="40"/>
      <c r="BM350" s="40"/>
    </row>
    <row r="351" spans="7:65" x14ac:dyDescent="0.35">
      <c r="G351" s="32"/>
      <c r="H351" s="32"/>
      <c r="I351" s="32"/>
      <c r="K351" s="32"/>
      <c r="L351" s="32"/>
      <c r="M351" s="32"/>
      <c r="N351" s="37"/>
      <c r="O351" s="37"/>
      <c r="P351" s="37"/>
      <c r="Q351" s="37"/>
      <c r="X351" s="40"/>
      <c r="Y351" s="40"/>
      <c r="AE351" s="18"/>
      <c r="AF351" s="18"/>
      <c r="AG351" s="18"/>
      <c r="AH351" s="18"/>
      <c r="AI351" s="18"/>
      <c r="AJ351" s="18"/>
      <c r="AK351" s="18"/>
      <c r="AQ351" s="48"/>
      <c r="AR351" s="48"/>
      <c r="AS351" s="48"/>
      <c r="AT351" s="48"/>
      <c r="AU351" s="48"/>
      <c r="AV351" s="48"/>
      <c r="AW351" s="48"/>
      <c r="AX351" s="48"/>
      <c r="AY351" s="48"/>
      <c r="AZ351" s="48"/>
      <c r="BA351" s="48"/>
      <c r="BB351" s="48"/>
      <c r="BC351" s="48"/>
      <c r="BD351" s="48"/>
      <c r="BE351" s="40"/>
      <c r="BF351" s="40"/>
      <c r="BG351" s="71"/>
      <c r="BL351" s="40"/>
      <c r="BM351" s="40"/>
    </row>
    <row r="352" spans="7:65" x14ac:dyDescent="0.35">
      <c r="G352" s="32"/>
      <c r="H352" s="32"/>
      <c r="I352" s="32"/>
      <c r="K352" s="32"/>
      <c r="L352" s="32"/>
      <c r="M352" s="32"/>
      <c r="N352" s="37"/>
      <c r="O352" s="37"/>
      <c r="P352" s="37"/>
      <c r="Q352" s="37"/>
      <c r="X352" s="40"/>
      <c r="Y352" s="40"/>
      <c r="AE352" s="18"/>
      <c r="AF352" s="18"/>
      <c r="AG352" s="18"/>
      <c r="AH352" s="18"/>
      <c r="AI352" s="18"/>
      <c r="AJ352" s="18"/>
      <c r="AK352" s="18"/>
      <c r="AQ352" s="48"/>
      <c r="AR352" s="48"/>
      <c r="AS352" s="48"/>
      <c r="AT352" s="48"/>
      <c r="AU352" s="48"/>
      <c r="AV352" s="48"/>
      <c r="AW352" s="48"/>
      <c r="AX352" s="48"/>
      <c r="AY352" s="48"/>
      <c r="AZ352" s="48"/>
      <c r="BA352" s="48"/>
      <c r="BB352" s="48"/>
      <c r="BC352" s="48"/>
      <c r="BD352" s="48"/>
      <c r="BE352" s="40"/>
      <c r="BF352" s="40"/>
      <c r="BG352" s="71"/>
      <c r="BL352" s="40"/>
      <c r="BM352" s="40"/>
    </row>
    <row r="353" spans="7:66" x14ac:dyDescent="0.35">
      <c r="G353" s="32"/>
      <c r="H353" s="32"/>
      <c r="I353" s="32"/>
      <c r="K353" s="32"/>
      <c r="L353" s="32"/>
      <c r="M353" s="32"/>
      <c r="N353" s="37"/>
      <c r="O353" s="37"/>
      <c r="P353" s="37"/>
      <c r="Q353" s="37"/>
      <c r="X353" s="40"/>
      <c r="Y353" s="40"/>
      <c r="AE353" s="18"/>
      <c r="AF353" s="18"/>
      <c r="AG353" s="18"/>
      <c r="AH353" s="18"/>
      <c r="AI353" s="18"/>
      <c r="AJ353" s="18"/>
      <c r="AK353" s="18"/>
      <c r="AQ353" s="48"/>
      <c r="AR353" s="48"/>
      <c r="AS353" s="48"/>
      <c r="AT353" s="48"/>
      <c r="AU353" s="48"/>
      <c r="AV353" s="48"/>
      <c r="AW353" s="48"/>
      <c r="AX353" s="48"/>
      <c r="AY353" s="48"/>
      <c r="AZ353" s="48"/>
      <c r="BA353" s="48"/>
      <c r="BB353" s="48"/>
      <c r="BC353" s="48"/>
      <c r="BD353" s="48"/>
      <c r="BE353" s="40"/>
      <c r="BF353" s="40"/>
      <c r="BG353" s="71"/>
      <c r="BL353" s="40"/>
      <c r="BM353" s="40"/>
      <c r="BN353" s="11"/>
    </row>
    <row r="354" spans="7:66" x14ac:dyDescent="0.35">
      <c r="G354" s="32"/>
      <c r="H354" s="32"/>
      <c r="I354" s="32"/>
      <c r="K354" s="32"/>
      <c r="L354" s="32"/>
      <c r="M354" s="32"/>
      <c r="N354" s="37"/>
      <c r="O354" s="37"/>
      <c r="P354" s="37"/>
      <c r="Q354" s="37"/>
      <c r="X354" s="40"/>
      <c r="Y354" s="40"/>
      <c r="AE354" s="18"/>
      <c r="AF354" s="18"/>
      <c r="AG354" s="18"/>
      <c r="AH354" s="18"/>
      <c r="AI354" s="18"/>
      <c r="AJ354" s="18"/>
      <c r="AK354" s="18"/>
      <c r="AQ354" s="48"/>
      <c r="AR354" s="48"/>
      <c r="AS354" s="48"/>
      <c r="AT354" s="48"/>
      <c r="AU354" s="48"/>
      <c r="AV354" s="48"/>
      <c r="AW354" s="48"/>
      <c r="AX354" s="48"/>
      <c r="AY354" s="48"/>
      <c r="AZ354" s="48"/>
      <c r="BA354" s="48"/>
      <c r="BB354" s="48"/>
      <c r="BC354" s="48"/>
      <c r="BD354" s="48"/>
      <c r="BE354" s="40"/>
      <c r="BF354" s="40"/>
      <c r="BG354" s="71"/>
      <c r="BL354" s="40"/>
      <c r="BM354" s="40"/>
      <c r="BN354" s="11"/>
    </row>
    <row r="355" spans="7:66" x14ac:dyDescent="0.35">
      <c r="G355" s="32"/>
      <c r="H355" s="32"/>
      <c r="I355" s="32"/>
      <c r="K355" s="32"/>
      <c r="L355" s="32"/>
      <c r="M355" s="32"/>
      <c r="N355" s="37"/>
      <c r="O355" s="37"/>
      <c r="P355" s="37"/>
      <c r="Q355" s="37"/>
      <c r="X355" s="40"/>
      <c r="Y355" s="40"/>
      <c r="AE355" s="18"/>
      <c r="AF355" s="18"/>
      <c r="AG355" s="18"/>
      <c r="AH355" s="18"/>
      <c r="AI355" s="18"/>
      <c r="AJ355" s="18"/>
      <c r="AK355" s="18"/>
      <c r="AQ355" s="48"/>
      <c r="AR355" s="48"/>
      <c r="AS355" s="48"/>
      <c r="AT355" s="48"/>
      <c r="AU355" s="48"/>
      <c r="AV355" s="48"/>
      <c r="AW355" s="48"/>
      <c r="AX355" s="48"/>
      <c r="AY355" s="48"/>
      <c r="AZ355" s="48"/>
      <c r="BA355" s="48"/>
      <c r="BB355" s="48"/>
      <c r="BC355" s="48"/>
      <c r="BD355" s="48"/>
      <c r="BE355" s="40"/>
      <c r="BF355" s="40"/>
      <c r="BG355" s="71"/>
      <c r="BL355" s="40"/>
      <c r="BM355" s="40"/>
      <c r="BN355" s="11"/>
    </row>
    <row r="356" spans="7:66" x14ac:dyDescent="0.35">
      <c r="G356" s="32"/>
      <c r="H356" s="32"/>
      <c r="I356" s="32"/>
      <c r="K356" s="32"/>
      <c r="L356" s="32"/>
      <c r="M356" s="32"/>
      <c r="N356" s="37"/>
      <c r="O356" s="37"/>
      <c r="P356" s="37"/>
      <c r="Q356" s="37"/>
      <c r="X356" s="40"/>
      <c r="Y356" s="40"/>
      <c r="AE356" s="18"/>
      <c r="AF356" s="18"/>
      <c r="AG356" s="18"/>
      <c r="AH356" s="18"/>
      <c r="AI356" s="18"/>
      <c r="AJ356" s="18"/>
      <c r="AK356" s="18"/>
      <c r="AQ356" s="48"/>
      <c r="AR356" s="48"/>
      <c r="AS356" s="48"/>
      <c r="AT356" s="48"/>
      <c r="AU356" s="48"/>
      <c r="AV356" s="48"/>
      <c r="AW356" s="48"/>
      <c r="AX356" s="48"/>
      <c r="AY356" s="48"/>
      <c r="AZ356" s="48"/>
      <c r="BA356" s="48"/>
      <c r="BB356" s="48"/>
      <c r="BC356" s="48"/>
      <c r="BD356" s="48"/>
      <c r="BE356" s="40"/>
      <c r="BF356" s="40"/>
      <c r="BG356" s="71"/>
      <c r="BL356" s="40"/>
      <c r="BM356" s="40"/>
      <c r="BN356" s="11"/>
    </row>
    <row r="357" spans="7:66" x14ac:dyDescent="0.35">
      <c r="G357" s="32"/>
      <c r="H357" s="32"/>
      <c r="I357" s="32"/>
      <c r="K357" s="32"/>
      <c r="L357" s="32"/>
      <c r="M357" s="32"/>
      <c r="N357" s="37"/>
      <c r="O357" s="37"/>
      <c r="P357" s="37"/>
      <c r="Q357" s="37"/>
      <c r="X357" s="40"/>
      <c r="Y357" s="40"/>
      <c r="AE357" s="18"/>
      <c r="AF357" s="18"/>
      <c r="AG357" s="18"/>
      <c r="AH357" s="18"/>
      <c r="AI357" s="18"/>
      <c r="AJ357" s="18"/>
      <c r="AK357" s="18"/>
      <c r="AQ357" s="48"/>
      <c r="AR357" s="48"/>
      <c r="AS357" s="48"/>
      <c r="AT357" s="48"/>
      <c r="AU357" s="48"/>
      <c r="AV357" s="48"/>
      <c r="AW357" s="48"/>
      <c r="AX357" s="48"/>
      <c r="AY357" s="48"/>
      <c r="AZ357" s="48"/>
      <c r="BA357" s="48"/>
      <c r="BB357" s="48"/>
      <c r="BC357" s="48"/>
      <c r="BD357" s="48"/>
      <c r="BE357" s="40"/>
      <c r="BF357" s="40"/>
      <c r="BG357" s="71"/>
      <c r="BL357" s="40"/>
      <c r="BM357" s="40"/>
      <c r="BN357" s="11"/>
    </row>
    <row r="358" spans="7:66" x14ac:dyDescent="0.35">
      <c r="G358" s="32"/>
      <c r="H358" s="32"/>
      <c r="I358" s="32"/>
      <c r="K358" s="32"/>
      <c r="L358" s="32"/>
      <c r="M358" s="32"/>
      <c r="N358" s="37"/>
      <c r="O358" s="37"/>
      <c r="P358" s="37"/>
      <c r="Q358" s="37"/>
      <c r="X358" s="40"/>
      <c r="Y358" s="40"/>
      <c r="AE358" s="18"/>
      <c r="AF358" s="18"/>
      <c r="AG358" s="18"/>
      <c r="AH358" s="18"/>
      <c r="AI358" s="18"/>
      <c r="AJ358" s="18"/>
      <c r="AK358" s="18"/>
      <c r="AQ358" s="48"/>
      <c r="AR358" s="48"/>
      <c r="AS358" s="48"/>
      <c r="AT358" s="48"/>
      <c r="AU358" s="48"/>
      <c r="AV358" s="48"/>
      <c r="AW358" s="48"/>
      <c r="AX358" s="48"/>
      <c r="AY358" s="48"/>
      <c r="AZ358" s="48"/>
      <c r="BA358" s="48"/>
      <c r="BB358" s="48"/>
      <c r="BC358" s="48"/>
      <c r="BD358" s="48"/>
      <c r="BE358" s="40"/>
      <c r="BF358" s="40"/>
      <c r="BG358" s="71"/>
      <c r="BL358" s="40"/>
      <c r="BM358" s="40"/>
      <c r="BN358" s="11"/>
    </row>
    <row r="359" spans="7:66" x14ac:dyDescent="0.35">
      <c r="G359" s="32"/>
      <c r="H359" s="32"/>
      <c r="I359" s="32"/>
      <c r="K359" s="32"/>
      <c r="L359" s="32"/>
      <c r="M359" s="32"/>
      <c r="N359" s="37"/>
      <c r="O359" s="37"/>
      <c r="P359" s="37"/>
      <c r="Q359" s="37"/>
      <c r="X359" s="40"/>
      <c r="Y359" s="40"/>
      <c r="AE359" s="18"/>
      <c r="AF359" s="18"/>
      <c r="AG359" s="18"/>
      <c r="AH359" s="18"/>
      <c r="AI359" s="18"/>
      <c r="AJ359" s="18"/>
      <c r="AK359" s="18"/>
      <c r="AQ359" s="48"/>
      <c r="AR359" s="48"/>
      <c r="AS359" s="48"/>
      <c r="AT359" s="48"/>
      <c r="AU359" s="48"/>
      <c r="AV359" s="48"/>
      <c r="AW359" s="48"/>
      <c r="AX359" s="48"/>
      <c r="AY359" s="48"/>
      <c r="AZ359" s="48"/>
      <c r="BA359" s="48"/>
      <c r="BB359" s="48"/>
      <c r="BC359" s="48"/>
      <c r="BD359" s="48"/>
      <c r="BE359" s="40"/>
      <c r="BF359" s="40"/>
      <c r="BG359" s="71"/>
      <c r="BL359" s="40"/>
      <c r="BM359" s="40"/>
      <c r="BN359" s="11"/>
    </row>
    <row r="360" spans="7:66" x14ac:dyDescent="0.35">
      <c r="G360" s="32"/>
      <c r="H360" s="32"/>
      <c r="I360" s="32"/>
      <c r="K360" s="32"/>
      <c r="L360" s="32"/>
      <c r="M360" s="32"/>
      <c r="N360" s="37"/>
      <c r="O360" s="37"/>
      <c r="P360" s="37"/>
      <c r="Q360" s="37"/>
      <c r="X360" s="40"/>
      <c r="Y360" s="40"/>
      <c r="AE360" s="18"/>
      <c r="AF360" s="18"/>
      <c r="AG360" s="18"/>
      <c r="AH360" s="18"/>
      <c r="AI360" s="18"/>
      <c r="AJ360" s="18"/>
      <c r="AK360" s="18"/>
      <c r="AQ360" s="48"/>
      <c r="AR360" s="48"/>
      <c r="AS360" s="48"/>
      <c r="AT360" s="48"/>
      <c r="AU360" s="48"/>
      <c r="AV360" s="48"/>
      <c r="AW360" s="48"/>
      <c r="AX360" s="48"/>
      <c r="AY360" s="48"/>
      <c r="AZ360" s="48"/>
      <c r="BA360" s="48"/>
      <c r="BB360" s="48"/>
      <c r="BC360" s="48"/>
      <c r="BD360" s="48"/>
      <c r="BE360" s="40"/>
      <c r="BF360" s="40"/>
      <c r="BG360" s="71"/>
      <c r="BL360" s="40"/>
      <c r="BM360" s="40"/>
      <c r="BN360" s="11"/>
    </row>
    <row r="361" spans="7:66" x14ac:dyDescent="0.35">
      <c r="G361" s="32"/>
      <c r="H361" s="32"/>
      <c r="I361" s="32"/>
      <c r="K361" s="32"/>
      <c r="L361" s="32"/>
      <c r="M361" s="32"/>
      <c r="N361" s="37"/>
      <c r="O361" s="37"/>
      <c r="P361" s="37"/>
      <c r="Q361" s="37"/>
      <c r="X361" s="40"/>
      <c r="Y361" s="40"/>
      <c r="AE361" s="18"/>
      <c r="AF361" s="18"/>
      <c r="AG361" s="18"/>
      <c r="AH361" s="18"/>
      <c r="AI361" s="18"/>
      <c r="AJ361" s="18"/>
      <c r="AK361" s="18"/>
      <c r="AQ361" s="48"/>
      <c r="AR361" s="48"/>
      <c r="AS361" s="48"/>
      <c r="AT361" s="48"/>
      <c r="AU361" s="48"/>
      <c r="AV361" s="48"/>
      <c r="AW361" s="48"/>
      <c r="AX361" s="48"/>
      <c r="AY361" s="48"/>
      <c r="AZ361" s="48"/>
      <c r="BA361" s="48"/>
      <c r="BB361" s="48"/>
      <c r="BC361" s="48"/>
      <c r="BD361" s="48"/>
      <c r="BE361" s="40"/>
      <c r="BF361" s="40"/>
      <c r="BG361" s="71"/>
      <c r="BL361" s="40"/>
      <c r="BM361" s="40"/>
      <c r="BN361" s="11"/>
    </row>
    <row r="362" spans="7:66" x14ac:dyDescent="0.35">
      <c r="G362" s="32"/>
      <c r="H362" s="32"/>
      <c r="I362" s="32"/>
      <c r="K362" s="32"/>
      <c r="L362" s="32"/>
      <c r="M362" s="32"/>
      <c r="N362" s="37"/>
      <c r="O362" s="37"/>
      <c r="P362" s="37"/>
      <c r="Q362" s="37"/>
      <c r="X362" s="40"/>
      <c r="Y362" s="40"/>
      <c r="AE362" s="18"/>
      <c r="AF362" s="18"/>
      <c r="AG362" s="18"/>
      <c r="AH362" s="18"/>
      <c r="AI362" s="18"/>
      <c r="AJ362" s="18"/>
      <c r="AK362" s="18"/>
      <c r="AQ362" s="48"/>
      <c r="AR362" s="48"/>
      <c r="AS362" s="48"/>
      <c r="AT362" s="48"/>
      <c r="AU362" s="48"/>
      <c r="AV362" s="48"/>
      <c r="AW362" s="48"/>
      <c r="AX362" s="48"/>
      <c r="AY362" s="48"/>
      <c r="AZ362" s="48"/>
      <c r="BA362" s="48"/>
      <c r="BB362" s="48"/>
      <c r="BC362" s="48"/>
      <c r="BD362" s="48"/>
      <c r="BE362" s="40"/>
      <c r="BF362" s="40"/>
      <c r="BG362" s="71"/>
      <c r="BL362" s="40"/>
      <c r="BM362" s="40"/>
    </row>
    <row r="363" spans="7:66" x14ac:dyDescent="0.35">
      <c r="G363" s="32"/>
      <c r="H363" s="32"/>
      <c r="I363" s="32"/>
      <c r="K363" s="32"/>
      <c r="L363" s="32"/>
      <c r="M363" s="32"/>
      <c r="N363" s="37"/>
      <c r="O363" s="37"/>
      <c r="P363" s="37"/>
      <c r="Q363" s="37"/>
      <c r="X363" s="40"/>
      <c r="Y363" s="40"/>
      <c r="AE363" s="18"/>
      <c r="AF363" s="18"/>
      <c r="AG363" s="18"/>
      <c r="AH363" s="18"/>
      <c r="AI363" s="18"/>
      <c r="AJ363" s="18"/>
      <c r="AK363" s="18"/>
      <c r="AQ363" s="48"/>
      <c r="AR363" s="48"/>
      <c r="AS363" s="48"/>
      <c r="AT363" s="48"/>
      <c r="AU363" s="48"/>
      <c r="AV363" s="48"/>
      <c r="AW363" s="48"/>
      <c r="AX363" s="48"/>
      <c r="AY363" s="48"/>
      <c r="AZ363" s="48"/>
      <c r="BA363" s="48"/>
      <c r="BB363" s="48"/>
      <c r="BC363" s="48"/>
      <c r="BD363" s="48"/>
      <c r="BE363" s="40"/>
      <c r="BF363" s="40"/>
      <c r="BG363" s="71"/>
      <c r="BL363" s="40"/>
      <c r="BM363" s="40"/>
    </row>
    <row r="364" spans="7:66" x14ac:dyDescent="0.35">
      <c r="G364" s="32"/>
      <c r="H364" s="32"/>
      <c r="I364" s="32"/>
      <c r="K364" s="32"/>
      <c r="L364" s="32"/>
      <c r="M364" s="32"/>
      <c r="N364" s="37"/>
      <c r="O364" s="37"/>
      <c r="P364" s="37"/>
      <c r="Q364" s="37"/>
      <c r="X364" s="40"/>
      <c r="Y364" s="40"/>
      <c r="AE364" s="18"/>
      <c r="AF364" s="18"/>
      <c r="AG364" s="18"/>
      <c r="AH364" s="18"/>
      <c r="AI364" s="18"/>
      <c r="AJ364" s="18"/>
      <c r="AK364" s="18"/>
      <c r="AQ364" s="48"/>
      <c r="AR364" s="48"/>
      <c r="AS364" s="48"/>
      <c r="AT364" s="48"/>
      <c r="AU364" s="48"/>
      <c r="AV364" s="48"/>
      <c r="AW364" s="48"/>
      <c r="AX364" s="48"/>
      <c r="AY364" s="48"/>
      <c r="AZ364" s="48"/>
      <c r="BA364" s="48"/>
      <c r="BB364" s="48"/>
      <c r="BC364" s="48"/>
      <c r="BD364" s="48"/>
      <c r="BE364" s="40"/>
      <c r="BF364" s="40"/>
      <c r="BG364" s="71"/>
      <c r="BL364" s="40"/>
      <c r="BM364" s="40"/>
    </row>
    <row r="365" spans="7:66" x14ac:dyDescent="0.35">
      <c r="G365" s="32"/>
      <c r="H365" s="32"/>
      <c r="I365" s="32"/>
      <c r="K365" s="32"/>
      <c r="L365" s="32"/>
      <c r="M365" s="32"/>
      <c r="N365" s="37"/>
      <c r="O365" s="37"/>
      <c r="P365" s="37"/>
      <c r="Q365" s="37"/>
      <c r="X365" s="40"/>
      <c r="Y365" s="40"/>
      <c r="AE365" s="18"/>
      <c r="AF365" s="18"/>
      <c r="AG365" s="18"/>
      <c r="AH365" s="18"/>
      <c r="AI365" s="18"/>
      <c r="AJ365" s="18"/>
      <c r="AK365" s="18"/>
      <c r="AQ365" s="48"/>
      <c r="AR365" s="48"/>
      <c r="AS365" s="48"/>
      <c r="AT365" s="48"/>
      <c r="AU365" s="48"/>
      <c r="AV365" s="48"/>
      <c r="AW365" s="48"/>
      <c r="AX365" s="48"/>
      <c r="AY365" s="48"/>
      <c r="AZ365" s="48"/>
      <c r="BA365" s="48"/>
      <c r="BB365" s="48"/>
      <c r="BC365" s="48"/>
      <c r="BD365" s="48"/>
      <c r="BE365" s="40"/>
      <c r="BF365" s="40"/>
      <c r="BG365" s="71"/>
      <c r="BL365" s="40"/>
      <c r="BM365" s="40"/>
    </row>
    <row r="366" spans="7:66" x14ac:dyDescent="0.35">
      <c r="G366" s="32"/>
      <c r="H366" s="32"/>
      <c r="I366" s="32"/>
      <c r="K366" s="32"/>
      <c r="L366" s="32"/>
      <c r="M366" s="32"/>
      <c r="N366" s="37"/>
      <c r="O366" s="37"/>
      <c r="P366" s="37"/>
      <c r="Q366" s="37"/>
      <c r="X366" s="40"/>
      <c r="Y366" s="40"/>
      <c r="AE366" s="18"/>
      <c r="AF366" s="18"/>
      <c r="AG366" s="18"/>
      <c r="AH366" s="18"/>
      <c r="AI366" s="18"/>
      <c r="AJ366" s="18"/>
      <c r="AK366" s="18"/>
      <c r="AQ366" s="48"/>
      <c r="AR366" s="48"/>
      <c r="AS366" s="48"/>
      <c r="AT366" s="48"/>
      <c r="AU366" s="48"/>
      <c r="AV366" s="48"/>
      <c r="AW366" s="48"/>
      <c r="AX366" s="48"/>
      <c r="AY366" s="48"/>
      <c r="AZ366" s="48"/>
      <c r="BA366" s="48"/>
      <c r="BB366" s="48"/>
      <c r="BC366" s="48"/>
      <c r="BD366" s="48"/>
      <c r="BE366" s="40"/>
      <c r="BF366" s="40"/>
      <c r="BG366" s="71"/>
      <c r="BL366" s="40"/>
      <c r="BM366" s="40"/>
    </row>
    <row r="367" spans="7:66" x14ac:dyDescent="0.35">
      <c r="G367" s="32"/>
      <c r="H367" s="32"/>
      <c r="I367" s="32"/>
      <c r="K367" s="32"/>
      <c r="L367" s="32"/>
      <c r="M367" s="32"/>
      <c r="N367" s="37"/>
      <c r="O367" s="37"/>
      <c r="P367" s="37"/>
      <c r="Q367" s="37"/>
      <c r="X367" s="40"/>
      <c r="Y367" s="40"/>
      <c r="AE367" s="18"/>
      <c r="AF367" s="18"/>
      <c r="AG367" s="18"/>
      <c r="AH367" s="18"/>
      <c r="AI367" s="18"/>
      <c r="AJ367" s="18"/>
      <c r="AK367" s="18"/>
      <c r="AQ367" s="48"/>
      <c r="AR367" s="48"/>
      <c r="AS367" s="48"/>
      <c r="AT367" s="48"/>
      <c r="AU367" s="48"/>
      <c r="AV367" s="48"/>
      <c r="AW367" s="48"/>
      <c r="AX367" s="48"/>
      <c r="AY367" s="48"/>
      <c r="AZ367" s="48"/>
      <c r="BA367" s="48"/>
      <c r="BB367" s="48"/>
      <c r="BC367" s="48"/>
      <c r="BD367" s="48"/>
      <c r="BE367" s="40"/>
      <c r="BF367" s="40"/>
      <c r="BG367" s="71"/>
      <c r="BL367" s="40"/>
      <c r="BM367" s="40"/>
    </row>
    <row r="368" spans="7:66" x14ac:dyDescent="0.35">
      <c r="G368" s="32"/>
      <c r="H368" s="32"/>
      <c r="I368" s="32"/>
      <c r="K368" s="32"/>
      <c r="L368" s="32"/>
      <c r="M368" s="32"/>
      <c r="N368" s="37"/>
      <c r="O368" s="37"/>
      <c r="P368" s="37"/>
      <c r="Q368" s="37"/>
      <c r="X368" s="40"/>
      <c r="Y368" s="40"/>
      <c r="AE368" s="18"/>
      <c r="AF368" s="18"/>
      <c r="AG368" s="18"/>
      <c r="AH368" s="18"/>
      <c r="AI368" s="18"/>
      <c r="AJ368" s="18"/>
      <c r="AK368" s="18"/>
      <c r="AQ368" s="48"/>
      <c r="AR368" s="48"/>
      <c r="AS368" s="48"/>
      <c r="AT368" s="48"/>
      <c r="AU368" s="48"/>
      <c r="AV368" s="48"/>
      <c r="AW368" s="48"/>
      <c r="AX368" s="48"/>
      <c r="AY368" s="48"/>
      <c r="AZ368" s="48"/>
      <c r="BA368" s="48"/>
      <c r="BB368" s="48"/>
      <c r="BC368" s="48"/>
      <c r="BD368" s="48"/>
      <c r="BE368" s="40"/>
      <c r="BF368" s="40"/>
      <c r="BG368" s="71"/>
      <c r="BL368" s="40"/>
      <c r="BM368" s="40"/>
    </row>
    <row r="369" spans="7:65" x14ac:dyDescent="0.35">
      <c r="G369" s="32"/>
      <c r="H369" s="32"/>
      <c r="I369" s="32"/>
      <c r="K369" s="32"/>
      <c r="L369" s="32"/>
      <c r="M369" s="32"/>
      <c r="N369" s="37"/>
      <c r="O369" s="37"/>
      <c r="P369" s="37"/>
      <c r="Q369" s="37"/>
      <c r="X369" s="40"/>
      <c r="Y369" s="40"/>
      <c r="AE369" s="18"/>
      <c r="AF369" s="18"/>
      <c r="AG369" s="18"/>
      <c r="AH369" s="18"/>
      <c r="AI369" s="18"/>
      <c r="AJ369" s="18"/>
      <c r="AK369" s="18"/>
      <c r="AQ369" s="48"/>
      <c r="AR369" s="48"/>
      <c r="AS369" s="48"/>
      <c r="AT369" s="48"/>
      <c r="AU369" s="48"/>
      <c r="AV369" s="48"/>
      <c r="AW369" s="48"/>
      <c r="AX369" s="48"/>
      <c r="AY369" s="48"/>
      <c r="AZ369" s="48"/>
      <c r="BA369" s="48"/>
      <c r="BB369" s="48"/>
      <c r="BC369" s="48"/>
      <c r="BD369" s="48"/>
      <c r="BE369" s="40"/>
      <c r="BF369" s="40"/>
      <c r="BG369" s="71"/>
      <c r="BL369" s="40"/>
      <c r="BM369" s="40"/>
    </row>
    <row r="370" spans="7:65" x14ac:dyDescent="0.35">
      <c r="G370" s="32"/>
      <c r="H370" s="32"/>
      <c r="I370" s="32"/>
      <c r="K370" s="32"/>
      <c r="L370" s="32"/>
      <c r="M370" s="32"/>
      <c r="N370" s="37"/>
      <c r="O370" s="37"/>
      <c r="P370" s="37"/>
      <c r="Q370" s="37"/>
      <c r="X370" s="40"/>
      <c r="Y370" s="40"/>
      <c r="AE370" s="18"/>
      <c r="AF370" s="18"/>
      <c r="AG370" s="18"/>
      <c r="AH370" s="18"/>
      <c r="AI370" s="18"/>
      <c r="AJ370" s="18"/>
      <c r="AK370" s="18"/>
      <c r="AQ370" s="48"/>
      <c r="AR370" s="48"/>
      <c r="AS370" s="48"/>
      <c r="AT370" s="48"/>
      <c r="AU370" s="48"/>
      <c r="AV370" s="48"/>
      <c r="AW370" s="48"/>
      <c r="AX370" s="48"/>
      <c r="AY370" s="48"/>
      <c r="AZ370" s="48"/>
      <c r="BA370" s="48"/>
      <c r="BB370" s="48"/>
      <c r="BC370" s="48"/>
      <c r="BD370" s="48"/>
      <c r="BE370" s="40"/>
      <c r="BF370" s="40"/>
      <c r="BG370" s="71"/>
      <c r="BL370" s="40"/>
      <c r="BM370" s="40"/>
    </row>
    <row r="371" spans="7:65" x14ac:dyDescent="0.35">
      <c r="G371" s="32"/>
      <c r="H371" s="32"/>
      <c r="I371" s="32"/>
      <c r="K371" s="32"/>
      <c r="L371" s="32"/>
      <c r="M371" s="32"/>
      <c r="N371" s="37"/>
      <c r="O371" s="37"/>
      <c r="P371" s="37"/>
      <c r="Q371" s="37"/>
      <c r="X371" s="40"/>
      <c r="Y371" s="40"/>
      <c r="AE371" s="18"/>
      <c r="AF371" s="18"/>
      <c r="AG371" s="18"/>
      <c r="AH371" s="18"/>
      <c r="AI371" s="18"/>
      <c r="AJ371" s="18"/>
      <c r="AK371" s="18"/>
      <c r="AQ371" s="48"/>
      <c r="AR371" s="48"/>
      <c r="AS371" s="48"/>
      <c r="AT371" s="48"/>
      <c r="AU371" s="48"/>
      <c r="AV371" s="48"/>
      <c r="AW371" s="48"/>
      <c r="AX371" s="48"/>
      <c r="AY371" s="48"/>
      <c r="AZ371" s="48"/>
      <c r="BA371" s="48"/>
      <c r="BB371" s="48"/>
      <c r="BC371" s="48"/>
      <c r="BD371" s="48"/>
      <c r="BE371" s="40"/>
      <c r="BF371" s="40"/>
      <c r="BG371" s="71"/>
      <c r="BL371" s="40"/>
      <c r="BM371" s="40"/>
    </row>
    <row r="372" spans="7:65" x14ac:dyDescent="0.35">
      <c r="G372" s="32"/>
      <c r="H372" s="32"/>
      <c r="I372" s="32"/>
      <c r="K372" s="32"/>
      <c r="L372" s="32"/>
      <c r="M372" s="32"/>
      <c r="N372" s="37"/>
      <c r="O372" s="37"/>
      <c r="P372" s="37"/>
      <c r="Q372" s="37"/>
      <c r="X372" s="40"/>
      <c r="Y372" s="40"/>
      <c r="AE372" s="18"/>
      <c r="AF372" s="18"/>
      <c r="AG372" s="18"/>
      <c r="AH372" s="18"/>
      <c r="AI372" s="18"/>
      <c r="AJ372" s="18"/>
      <c r="AK372" s="18"/>
      <c r="AQ372" s="48"/>
      <c r="AR372" s="48"/>
      <c r="AS372" s="48"/>
      <c r="AT372" s="48"/>
      <c r="AU372" s="48"/>
      <c r="AV372" s="48"/>
      <c r="AW372" s="48"/>
      <c r="AX372" s="48"/>
      <c r="AY372" s="48"/>
      <c r="AZ372" s="48"/>
      <c r="BA372" s="48"/>
      <c r="BB372" s="48"/>
      <c r="BC372" s="48"/>
      <c r="BD372" s="48"/>
      <c r="BE372" s="40"/>
      <c r="BF372" s="40"/>
      <c r="BG372" s="71"/>
      <c r="BL372" s="40"/>
      <c r="BM372" s="40"/>
    </row>
    <row r="373" spans="7:65" x14ac:dyDescent="0.35">
      <c r="G373" s="32"/>
      <c r="H373" s="32"/>
      <c r="I373" s="32"/>
      <c r="K373" s="32"/>
      <c r="L373" s="32"/>
      <c r="M373" s="32"/>
      <c r="N373" s="37"/>
      <c r="O373" s="37"/>
      <c r="P373" s="37"/>
      <c r="Q373" s="37"/>
      <c r="X373" s="40"/>
      <c r="Y373" s="40"/>
      <c r="AE373" s="18"/>
      <c r="AF373" s="18"/>
      <c r="AG373" s="18"/>
      <c r="AH373" s="18"/>
      <c r="AI373" s="18"/>
      <c r="AJ373" s="18"/>
      <c r="AK373" s="18"/>
      <c r="AQ373" s="48"/>
      <c r="AR373" s="48"/>
      <c r="AS373" s="48"/>
      <c r="AT373" s="48"/>
      <c r="AU373" s="48"/>
      <c r="AV373" s="48"/>
      <c r="AW373" s="48"/>
      <c r="AX373" s="48"/>
      <c r="AY373" s="48"/>
      <c r="AZ373" s="48"/>
      <c r="BA373" s="48"/>
      <c r="BB373" s="48"/>
      <c r="BC373" s="48"/>
      <c r="BD373" s="48"/>
      <c r="BE373" s="40"/>
      <c r="BF373" s="40"/>
      <c r="BG373" s="71"/>
      <c r="BL373" s="40"/>
      <c r="BM373" s="40"/>
    </row>
    <row r="374" spans="7:65" x14ac:dyDescent="0.35">
      <c r="G374" s="32"/>
      <c r="H374" s="32"/>
      <c r="I374" s="32"/>
      <c r="K374" s="32"/>
      <c r="L374" s="32"/>
      <c r="M374" s="32"/>
      <c r="N374" s="37"/>
      <c r="O374" s="37"/>
      <c r="P374" s="37"/>
      <c r="Q374" s="37"/>
      <c r="X374" s="40"/>
      <c r="Y374" s="40"/>
      <c r="AE374" s="18"/>
      <c r="AF374" s="18"/>
      <c r="AG374" s="18"/>
      <c r="AH374" s="18"/>
      <c r="AI374" s="18"/>
      <c r="AJ374" s="18"/>
      <c r="AK374" s="18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8"/>
      <c r="BE374" s="40"/>
      <c r="BF374" s="40"/>
      <c r="BG374" s="71"/>
      <c r="BL374" s="40"/>
      <c r="BM374" s="40"/>
    </row>
    <row r="375" spans="7:65" x14ac:dyDescent="0.35">
      <c r="G375" s="32"/>
      <c r="H375" s="32"/>
      <c r="I375" s="32"/>
      <c r="K375" s="32"/>
      <c r="L375" s="32"/>
      <c r="M375" s="32"/>
      <c r="N375" s="37"/>
      <c r="O375" s="37"/>
      <c r="P375" s="37"/>
      <c r="Q375" s="37"/>
      <c r="X375" s="40"/>
      <c r="Y375" s="40"/>
      <c r="AE375" s="18"/>
      <c r="AF375" s="18"/>
      <c r="AG375" s="18"/>
      <c r="AH375" s="18"/>
      <c r="AI375" s="18"/>
      <c r="AJ375" s="18"/>
      <c r="AK375" s="18"/>
      <c r="AQ375" s="48"/>
      <c r="AR375" s="48"/>
      <c r="AS375" s="48"/>
      <c r="AT375" s="48"/>
      <c r="AU375" s="48"/>
      <c r="AV375" s="48"/>
      <c r="AW375" s="48"/>
      <c r="AX375" s="48"/>
      <c r="AY375" s="48"/>
      <c r="AZ375" s="48"/>
      <c r="BA375" s="48"/>
      <c r="BB375" s="48"/>
      <c r="BC375" s="48"/>
      <c r="BD375" s="48"/>
      <c r="BE375" s="40"/>
      <c r="BF375" s="40"/>
      <c r="BG375" s="71"/>
      <c r="BL375" s="40"/>
      <c r="BM375" s="40"/>
    </row>
    <row r="376" spans="7:65" x14ac:dyDescent="0.35">
      <c r="G376" s="32"/>
      <c r="H376" s="32"/>
      <c r="I376" s="32"/>
      <c r="K376" s="32"/>
      <c r="L376" s="32"/>
      <c r="M376" s="32"/>
      <c r="N376" s="37"/>
      <c r="O376" s="37"/>
      <c r="P376" s="37"/>
      <c r="Q376" s="37"/>
      <c r="X376" s="40"/>
      <c r="Y376" s="40"/>
      <c r="AE376" s="18"/>
      <c r="AF376" s="18"/>
      <c r="AG376" s="18"/>
      <c r="AH376" s="18"/>
      <c r="AI376" s="18"/>
      <c r="AJ376" s="18"/>
      <c r="AK376" s="18"/>
      <c r="AQ376" s="48"/>
      <c r="AR376" s="48"/>
      <c r="AS376" s="48"/>
      <c r="AT376" s="48"/>
      <c r="AU376" s="48"/>
      <c r="AV376" s="48"/>
      <c r="AW376" s="48"/>
      <c r="AX376" s="48"/>
      <c r="AY376" s="48"/>
      <c r="AZ376" s="48"/>
      <c r="BA376" s="48"/>
      <c r="BB376" s="48"/>
      <c r="BC376" s="48"/>
      <c r="BD376" s="48"/>
      <c r="BE376" s="40"/>
      <c r="BF376" s="40"/>
      <c r="BG376" s="71"/>
      <c r="BL376" s="40"/>
      <c r="BM376" s="40"/>
    </row>
    <row r="377" spans="7:65" x14ac:dyDescent="0.35">
      <c r="G377" s="32"/>
      <c r="H377" s="32"/>
      <c r="I377" s="32"/>
      <c r="K377" s="32"/>
      <c r="L377" s="32"/>
      <c r="M377" s="32"/>
      <c r="N377" s="37"/>
      <c r="O377" s="37"/>
      <c r="P377" s="37"/>
      <c r="Q377" s="37"/>
      <c r="X377" s="40"/>
      <c r="Y377" s="40"/>
      <c r="AE377" s="18"/>
      <c r="AF377" s="18"/>
      <c r="AG377" s="18"/>
      <c r="AH377" s="18"/>
      <c r="AI377" s="18"/>
      <c r="AJ377" s="18"/>
      <c r="AK377" s="18"/>
      <c r="AQ377" s="48"/>
      <c r="AR377" s="48"/>
      <c r="AS377" s="48"/>
      <c r="AT377" s="48"/>
      <c r="AU377" s="48"/>
      <c r="AV377" s="48"/>
      <c r="AW377" s="48"/>
      <c r="AX377" s="48"/>
      <c r="AY377" s="48"/>
      <c r="AZ377" s="48"/>
      <c r="BA377" s="48"/>
      <c r="BB377" s="48"/>
      <c r="BC377" s="48"/>
      <c r="BD377" s="48"/>
      <c r="BE377" s="40"/>
      <c r="BF377" s="40"/>
      <c r="BG377" s="71"/>
      <c r="BL377" s="40"/>
      <c r="BM377" s="40"/>
    </row>
    <row r="378" spans="7:65" x14ac:dyDescent="0.35">
      <c r="G378" s="32"/>
      <c r="H378" s="32"/>
      <c r="I378" s="32"/>
      <c r="K378" s="32"/>
      <c r="L378" s="32"/>
      <c r="M378" s="32"/>
      <c r="N378" s="37"/>
      <c r="O378" s="37"/>
      <c r="P378" s="37"/>
      <c r="Q378" s="37"/>
      <c r="X378" s="40"/>
      <c r="Y378" s="40"/>
      <c r="AE378" s="18"/>
      <c r="AF378" s="18"/>
      <c r="AG378" s="18"/>
      <c r="AH378" s="18"/>
      <c r="AI378" s="18"/>
      <c r="AJ378" s="18"/>
      <c r="AK378" s="18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  <c r="BD378" s="48"/>
      <c r="BE378" s="40"/>
      <c r="BF378" s="40"/>
      <c r="BG378" s="71"/>
      <c r="BL378" s="40"/>
      <c r="BM378" s="40"/>
    </row>
    <row r="379" spans="7:65" x14ac:dyDescent="0.35">
      <c r="G379" s="32"/>
      <c r="H379" s="32"/>
      <c r="I379" s="32"/>
      <c r="K379" s="32"/>
      <c r="L379" s="32"/>
      <c r="M379" s="32"/>
      <c r="N379" s="37"/>
      <c r="O379" s="37"/>
      <c r="P379" s="37"/>
      <c r="Q379" s="37"/>
      <c r="X379" s="40"/>
      <c r="Y379" s="40"/>
      <c r="AE379" s="18"/>
      <c r="AF379" s="18"/>
      <c r="AG379" s="18"/>
      <c r="AH379" s="18"/>
      <c r="AI379" s="18"/>
      <c r="AJ379" s="18"/>
      <c r="AK379" s="18"/>
      <c r="AQ379" s="48"/>
      <c r="AR379" s="48"/>
      <c r="AS379" s="48"/>
      <c r="AT379" s="48"/>
      <c r="AU379" s="48"/>
      <c r="AV379" s="48"/>
      <c r="AW379" s="48"/>
      <c r="AX379" s="48"/>
      <c r="AY379" s="48"/>
      <c r="AZ379" s="48"/>
      <c r="BA379" s="48"/>
      <c r="BB379" s="48"/>
      <c r="BC379" s="48"/>
      <c r="BD379" s="48"/>
      <c r="BE379" s="40"/>
      <c r="BF379" s="40"/>
      <c r="BG379" s="71"/>
      <c r="BL379" s="40"/>
      <c r="BM379" s="40"/>
    </row>
    <row r="380" spans="7:65" x14ac:dyDescent="0.35">
      <c r="G380" s="32"/>
      <c r="H380" s="32"/>
      <c r="I380" s="32"/>
      <c r="K380" s="32"/>
      <c r="L380" s="32"/>
      <c r="M380" s="32"/>
      <c r="N380" s="37"/>
      <c r="O380" s="37"/>
      <c r="P380" s="37"/>
      <c r="Q380" s="37"/>
      <c r="X380" s="40"/>
      <c r="Y380" s="40"/>
      <c r="AE380" s="18"/>
      <c r="AF380" s="18"/>
      <c r="AG380" s="18"/>
      <c r="AH380" s="18"/>
      <c r="AI380" s="18"/>
      <c r="AJ380" s="18"/>
      <c r="AK380" s="18"/>
      <c r="AQ380" s="48"/>
      <c r="AR380" s="48"/>
      <c r="AS380" s="48"/>
      <c r="AT380" s="48"/>
      <c r="AU380" s="48"/>
      <c r="AV380" s="48"/>
      <c r="AW380" s="48"/>
      <c r="AX380" s="48"/>
      <c r="AY380" s="48"/>
      <c r="AZ380" s="48"/>
      <c r="BA380" s="48"/>
      <c r="BB380" s="48"/>
      <c r="BC380" s="48"/>
      <c r="BD380" s="48"/>
      <c r="BE380" s="40"/>
      <c r="BF380" s="40"/>
      <c r="BL380" s="40"/>
      <c r="BM380" s="40"/>
    </row>
    <row r="381" spans="7:65" x14ac:dyDescent="0.35">
      <c r="G381" s="32"/>
      <c r="H381" s="32"/>
      <c r="I381" s="32"/>
      <c r="K381" s="32"/>
      <c r="L381" s="32"/>
      <c r="M381" s="32"/>
      <c r="N381" s="37"/>
      <c r="O381" s="37"/>
      <c r="P381" s="37"/>
      <c r="Q381" s="37"/>
      <c r="X381" s="40"/>
      <c r="Y381" s="40"/>
      <c r="AE381" s="18"/>
      <c r="AF381" s="18"/>
      <c r="AG381" s="18"/>
      <c r="AH381" s="18"/>
      <c r="AI381" s="18"/>
      <c r="AJ381" s="18"/>
      <c r="AK381" s="18"/>
      <c r="AQ381" s="48"/>
      <c r="AR381" s="48"/>
      <c r="AS381" s="48"/>
      <c r="AT381" s="48"/>
      <c r="AU381" s="48"/>
      <c r="AV381" s="48"/>
      <c r="AW381" s="48"/>
      <c r="AX381" s="48"/>
      <c r="AY381" s="48"/>
      <c r="AZ381" s="48"/>
      <c r="BA381" s="48"/>
      <c r="BB381" s="48"/>
      <c r="BC381" s="48"/>
      <c r="BD381" s="48"/>
      <c r="BE381" s="40"/>
      <c r="BF381" s="40"/>
      <c r="BL381" s="40"/>
      <c r="BM381" s="40"/>
    </row>
    <row r="382" spans="7:65" x14ac:dyDescent="0.35">
      <c r="G382" s="32"/>
      <c r="H382" s="32"/>
      <c r="I382" s="32"/>
      <c r="K382" s="32"/>
      <c r="L382" s="32"/>
      <c r="M382" s="32"/>
      <c r="N382" s="37"/>
      <c r="O382" s="37"/>
      <c r="P382" s="37"/>
      <c r="Q382" s="37"/>
      <c r="X382" s="40"/>
      <c r="Y382" s="40"/>
      <c r="AE382" s="18"/>
      <c r="AF382" s="18"/>
      <c r="AG382" s="18"/>
      <c r="AH382" s="18"/>
      <c r="AI382" s="18"/>
      <c r="AJ382" s="18"/>
      <c r="AK382" s="18"/>
      <c r="AQ382" s="48"/>
      <c r="AR382" s="48"/>
      <c r="AS382" s="48"/>
      <c r="AT382" s="48"/>
      <c r="AU382" s="48"/>
      <c r="AV382" s="48"/>
      <c r="AW382" s="48"/>
      <c r="AX382" s="48"/>
      <c r="AY382" s="48"/>
      <c r="AZ382" s="48"/>
      <c r="BA382" s="48"/>
      <c r="BB382" s="48"/>
      <c r="BC382" s="48"/>
      <c r="BD382" s="48"/>
      <c r="BE382" s="40"/>
      <c r="BF382" s="40"/>
      <c r="BL382" s="40"/>
      <c r="BM382" s="40"/>
    </row>
    <row r="383" spans="7:65" x14ac:dyDescent="0.35">
      <c r="G383" s="32"/>
      <c r="H383" s="32"/>
      <c r="I383" s="32"/>
      <c r="K383" s="32"/>
      <c r="L383" s="32"/>
      <c r="M383" s="32"/>
      <c r="N383" s="37"/>
      <c r="O383" s="37"/>
      <c r="P383" s="37"/>
      <c r="Q383" s="37"/>
      <c r="X383" s="40"/>
      <c r="Y383" s="40"/>
      <c r="AE383" s="18"/>
      <c r="AF383" s="18"/>
      <c r="AG383" s="18"/>
      <c r="AH383" s="18"/>
      <c r="AI383" s="18"/>
      <c r="AJ383" s="18"/>
      <c r="AK383" s="18"/>
      <c r="AQ383" s="48"/>
      <c r="AR383" s="48"/>
      <c r="AS383" s="48"/>
      <c r="AT383" s="48"/>
      <c r="AU383" s="48"/>
      <c r="AV383" s="48"/>
      <c r="AW383" s="48"/>
      <c r="AX383" s="48"/>
      <c r="AY383" s="48"/>
      <c r="AZ383" s="48"/>
      <c r="BA383" s="48"/>
      <c r="BB383" s="48"/>
      <c r="BC383" s="48"/>
      <c r="BD383" s="48"/>
      <c r="BE383" s="40"/>
      <c r="BF383" s="40"/>
      <c r="BL383" s="40"/>
      <c r="BM383" s="40"/>
    </row>
    <row r="384" spans="7:65" x14ac:dyDescent="0.35">
      <c r="G384" s="32"/>
      <c r="H384" s="32"/>
      <c r="I384" s="32"/>
      <c r="K384" s="32"/>
      <c r="L384" s="32"/>
      <c r="M384" s="32"/>
      <c r="N384" s="37"/>
      <c r="O384" s="37"/>
      <c r="P384" s="37"/>
      <c r="Q384" s="37"/>
      <c r="X384" s="40"/>
      <c r="Y384" s="40"/>
      <c r="AE384" s="18"/>
      <c r="AF384" s="18"/>
      <c r="AG384" s="18"/>
      <c r="AH384" s="18"/>
      <c r="AI384" s="18"/>
      <c r="AJ384" s="18"/>
      <c r="AK384" s="18"/>
      <c r="AQ384" s="48"/>
      <c r="AR384" s="48"/>
      <c r="AS384" s="48"/>
      <c r="AT384" s="48"/>
      <c r="AU384" s="48"/>
      <c r="AV384" s="48"/>
      <c r="AW384" s="48"/>
      <c r="AX384" s="48"/>
      <c r="AY384" s="48"/>
      <c r="AZ384" s="48"/>
      <c r="BA384" s="48"/>
      <c r="BB384" s="48"/>
      <c r="BC384" s="48"/>
      <c r="BD384" s="48"/>
      <c r="BE384" s="40"/>
      <c r="BF384" s="40"/>
      <c r="BL384" s="40"/>
      <c r="BM384" s="40"/>
    </row>
    <row r="385" spans="7:65" x14ac:dyDescent="0.35">
      <c r="G385" s="32"/>
      <c r="H385" s="32"/>
      <c r="I385" s="32"/>
      <c r="K385" s="32"/>
      <c r="L385" s="32"/>
      <c r="M385" s="32"/>
      <c r="N385" s="37"/>
      <c r="O385" s="37"/>
      <c r="P385" s="37"/>
      <c r="Q385" s="37"/>
      <c r="X385" s="40"/>
      <c r="Y385" s="40"/>
      <c r="AE385" s="18"/>
      <c r="AF385" s="18"/>
      <c r="AG385" s="18"/>
      <c r="AH385" s="18"/>
      <c r="AI385" s="18"/>
      <c r="AJ385" s="18"/>
      <c r="AK385" s="18"/>
      <c r="AQ385" s="48"/>
      <c r="AR385" s="48"/>
      <c r="AS385" s="48"/>
      <c r="AT385" s="48"/>
      <c r="AU385" s="48"/>
      <c r="AV385" s="48"/>
      <c r="AW385" s="48"/>
      <c r="AX385" s="48"/>
      <c r="AY385" s="48"/>
      <c r="AZ385" s="48"/>
      <c r="BA385" s="48"/>
      <c r="BB385" s="48"/>
      <c r="BC385" s="48"/>
      <c r="BD385" s="48"/>
      <c r="BE385" s="40"/>
      <c r="BF385" s="40"/>
      <c r="BL385" s="40"/>
      <c r="BM385" s="40"/>
    </row>
    <row r="386" spans="7:65" x14ac:dyDescent="0.35">
      <c r="G386" s="32"/>
      <c r="H386" s="32"/>
      <c r="I386" s="32"/>
      <c r="K386" s="32"/>
      <c r="L386" s="32"/>
      <c r="M386" s="32"/>
      <c r="N386" s="37"/>
      <c r="O386" s="37"/>
      <c r="P386" s="37"/>
      <c r="Q386" s="37"/>
      <c r="X386" s="40"/>
      <c r="Y386" s="40"/>
      <c r="AE386" s="18"/>
      <c r="AF386" s="18"/>
      <c r="AG386" s="18"/>
      <c r="AH386" s="18"/>
      <c r="AI386" s="18"/>
      <c r="AJ386" s="18"/>
      <c r="AK386" s="18"/>
      <c r="AQ386" s="48"/>
      <c r="AR386" s="48"/>
      <c r="AS386" s="48"/>
      <c r="AT386" s="48"/>
      <c r="AU386" s="48"/>
      <c r="AV386" s="48"/>
      <c r="AW386" s="48"/>
      <c r="AX386" s="48"/>
      <c r="AY386" s="48"/>
      <c r="AZ386" s="48"/>
      <c r="BA386" s="48"/>
      <c r="BB386" s="48"/>
      <c r="BC386" s="48"/>
      <c r="BD386" s="48"/>
      <c r="BE386" s="40"/>
      <c r="BF386" s="40"/>
      <c r="BL386" s="40"/>
      <c r="BM386" s="40"/>
    </row>
    <row r="387" spans="7:65" x14ac:dyDescent="0.35">
      <c r="G387" s="32"/>
      <c r="H387" s="32"/>
      <c r="I387" s="32"/>
      <c r="K387" s="32"/>
      <c r="L387" s="32"/>
      <c r="M387" s="32"/>
      <c r="N387" s="37"/>
      <c r="O387" s="37"/>
      <c r="P387" s="37"/>
      <c r="Q387" s="37"/>
      <c r="X387" s="40"/>
      <c r="Y387" s="40"/>
      <c r="AE387" s="18"/>
      <c r="AF387" s="18"/>
      <c r="AG387" s="18"/>
      <c r="AH387" s="18"/>
      <c r="AI387" s="18"/>
      <c r="AJ387" s="18"/>
      <c r="AK387" s="18"/>
      <c r="AQ387" s="48"/>
      <c r="AR387" s="48"/>
      <c r="AS387" s="48"/>
      <c r="AT387" s="48"/>
      <c r="AU387" s="48"/>
      <c r="AV387" s="48"/>
      <c r="AW387" s="48"/>
      <c r="AX387" s="48"/>
      <c r="AY387" s="48"/>
      <c r="AZ387" s="48"/>
      <c r="BA387" s="48"/>
      <c r="BB387" s="48"/>
      <c r="BC387" s="48"/>
      <c r="BD387" s="48"/>
      <c r="BE387" s="40"/>
      <c r="BF387" s="40"/>
      <c r="BL387" s="40"/>
      <c r="BM387" s="40"/>
    </row>
    <row r="388" spans="7:65" x14ac:dyDescent="0.35">
      <c r="X388" s="40"/>
      <c r="Y388" s="40"/>
      <c r="AE388" s="18"/>
      <c r="AF388" s="18"/>
      <c r="AG388" s="18"/>
      <c r="AH388" s="18"/>
      <c r="AI388" s="18"/>
      <c r="AJ388" s="18"/>
      <c r="AK388" s="18"/>
      <c r="AQ388" s="48"/>
      <c r="AR388" s="48"/>
      <c r="AS388" s="48"/>
      <c r="AT388" s="48"/>
      <c r="AU388" s="48"/>
      <c r="AV388" s="48"/>
      <c r="AW388" s="48"/>
      <c r="AX388" s="48"/>
      <c r="AY388" s="48"/>
      <c r="AZ388" s="48"/>
      <c r="BA388" s="48"/>
      <c r="BB388" s="48"/>
      <c r="BC388" s="48"/>
      <c r="BD388" s="48"/>
      <c r="BE388" s="40"/>
      <c r="BF388" s="40"/>
      <c r="BL388" s="40"/>
      <c r="BM388" s="40"/>
    </row>
    <row r="389" spans="7:65" x14ac:dyDescent="0.35">
      <c r="G389" s="32"/>
      <c r="H389" s="32"/>
      <c r="I389" s="32"/>
      <c r="K389" s="32"/>
      <c r="L389" s="32"/>
      <c r="M389" s="32"/>
      <c r="N389" s="37"/>
      <c r="O389" s="37"/>
      <c r="P389" s="37"/>
      <c r="Q389" s="37"/>
      <c r="X389" s="40"/>
      <c r="Y389" s="40"/>
      <c r="AE389" s="18"/>
      <c r="AF389" s="18"/>
      <c r="AG389" s="18"/>
      <c r="AH389" s="18"/>
      <c r="AI389" s="18"/>
      <c r="AJ389" s="18"/>
      <c r="AK389" s="18"/>
      <c r="AQ389" s="48"/>
      <c r="AR389" s="48"/>
      <c r="AS389" s="48"/>
      <c r="AT389" s="48"/>
      <c r="AU389" s="48"/>
      <c r="AV389" s="48"/>
      <c r="AW389" s="48"/>
      <c r="AX389" s="48"/>
      <c r="AY389" s="48"/>
      <c r="AZ389" s="48"/>
      <c r="BA389" s="48"/>
      <c r="BB389" s="48"/>
      <c r="BC389" s="48"/>
      <c r="BD389" s="48"/>
      <c r="BE389" s="40"/>
      <c r="BF389" s="40"/>
      <c r="BL389" s="40"/>
      <c r="BM389" s="40"/>
    </row>
    <row r="390" spans="7:65" x14ac:dyDescent="0.35">
      <c r="G390" s="32"/>
      <c r="H390" s="32"/>
      <c r="I390" s="32"/>
      <c r="K390" s="32"/>
      <c r="L390" s="32"/>
      <c r="M390" s="32"/>
      <c r="N390" s="37"/>
      <c r="O390" s="37"/>
      <c r="P390" s="37"/>
      <c r="Q390" s="37"/>
      <c r="X390" s="40"/>
      <c r="Y390" s="40"/>
      <c r="AE390" s="18"/>
      <c r="AF390" s="18"/>
      <c r="AG390" s="18"/>
      <c r="AH390" s="18"/>
      <c r="AI390" s="18"/>
      <c r="AJ390" s="18"/>
      <c r="AK390" s="18"/>
      <c r="AQ390" s="48"/>
      <c r="AR390" s="48"/>
      <c r="AS390" s="48"/>
      <c r="AT390" s="48"/>
      <c r="AU390" s="48"/>
      <c r="AV390" s="48"/>
      <c r="AW390" s="48"/>
      <c r="AX390" s="48"/>
      <c r="AY390" s="48"/>
      <c r="AZ390" s="48"/>
      <c r="BA390" s="48"/>
      <c r="BB390" s="48"/>
      <c r="BC390" s="48"/>
      <c r="BD390" s="48"/>
      <c r="BE390" s="40"/>
      <c r="BF390" s="40"/>
      <c r="BL390" s="40"/>
      <c r="BM390" s="40"/>
    </row>
    <row r="391" spans="7:65" x14ac:dyDescent="0.35">
      <c r="G391" s="32"/>
      <c r="H391" s="32"/>
      <c r="I391" s="32"/>
      <c r="K391" s="32"/>
      <c r="L391" s="32"/>
      <c r="M391" s="32"/>
      <c r="N391" s="37"/>
      <c r="O391" s="37"/>
      <c r="P391" s="37"/>
      <c r="Q391" s="37"/>
      <c r="X391" s="40"/>
      <c r="Y391" s="40"/>
      <c r="AE391" s="18"/>
      <c r="AF391" s="18"/>
      <c r="AG391" s="18"/>
      <c r="AH391" s="18"/>
      <c r="AI391" s="18"/>
      <c r="AJ391" s="18"/>
      <c r="AK391" s="18"/>
      <c r="AQ391" s="48"/>
      <c r="AR391" s="48"/>
      <c r="AS391" s="48"/>
      <c r="AT391" s="48"/>
      <c r="AU391" s="48"/>
      <c r="AV391" s="48"/>
      <c r="AW391" s="48"/>
      <c r="AX391" s="48"/>
      <c r="AY391" s="48"/>
      <c r="AZ391" s="48"/>
      <c r="BA391" s="48"/>
      <c r="BB391" s="48"/>
      <c r="BC391" s="48"/>
      <c r="BD391" s="48"/>
      <c r="BE391" s="40"/>
      <c r="BF391" s="40"/>
      <c r="BL391" s="40"/>
      <c r="BM391" s="40"/>
    </row>
    <row r="392" spans="7:65" x14ac:dyDescent="0.35">
      <c r="G392" s="32"/>
      <c r="H392" s="32"/>
      <c r="I392" s="32"/>
      <c r="K392" s="32"/>
      <c r="L392" s="32"/>
      <c r="M392" s="32"/>
      <c r="N392" s="37"/>
      <c r="O392" s="37"/>
      <c r="P392" s="37"/>
      <c r="Q392" s="37"/>
      <c r="X392" s="40"/>
      <c r="Y392" s="40"/>
      <c r="AE392" s="18"/>
      <c r="AF392" s="18"/>
      <c r="AG392" s="18"/>
      <c r="AH392" s="18"/>
      <c r="AI392" s="18"/>
      <c r="AJ392" s="18"/>
      <c r="AK392" s="18"/>
      <c r="AQ392" s="48"/>
      <c r="AR392" s="48"/>
      <c r="AS392" s="48"/>
      <c r="AT392" s="48"/>
      <c r="AU392" s="48"/>
      <c r="AV392" s="48"/>
      <c r="AW392" s="48"/>
      <c r="AX392" s="48"/>
      <c r="AY392" s="48"/>
      <c r="AZ392" s="48"/>
      <c r="BA392" s="48"/>
      <c r="BB392" s="48"/>
      <c r="BC392" s="48"/>
      <c r="BD392" s="48"/>
      <c r="BE392" s="40"/>
      <c r="BF392" s="40"/>
      <c r="BL392" s="40"/>
      <c r="BM392" s="40"/>
    </row>
    <row r="393" spans="7:65" x14ac:dyDescent="0.35">
      <c r="G393" s="32"/>
      <c r="H393" s="32"/>
      <c r="I393" s="32"/>
      <c r="K393" s="32"/>
      <c r="L393" s="32"/>
      <c r="M393" s="32"/>
      <c r="N393" s="37"/>
      <c r="O393" s="37"/>
      <c r="P393" s="37"/>
      <c r="Q393" s="37"/>
      <c r="X393" s="40"/>
      <c r="Y393" s="40"/>
      <c r="AE393" s="18"/>
      <c r="AF393" s="18"/>
      <c r="AG393" s="18"/>
      <c r="AH393" s="18"/>
      <c r="AI393" s="18"/>
      <c r="AJ393" s="18"/>
      <c r="AK393" s="18"/>
      <c r="AQ393" s="48"/>
      <c r="AR393" s="48"/>
      <c r="AS393" s="48"/>
      <c r="AT393" s="48"/>
      <c r="AU393" s="48"/>
      <c r="AV393" s="48"/>
      <c r="AW393" s="48"/>
      <c r="AX393" s="48"/>
      <c r="AY393" s="48"/>
      <c r="AZ393" s="48"/>
      <c r="BA393" s="48"/>
      <c r="BB393" s="48"/>
      <c r="BC393" s="48"/>
      <c r="BD393" s="48"/>
      <c r="BE393" s="40"/>
      <c r="BF393" s="40"/>
      <c r="BL393" s="40"/>
      <c r="BM393" s="40"/>
    </row>
    <row r="394" spans="7:65" x14ac:dyDescent="0.35">
      <c r="G394" s="32"/>
      <c r="H394" s="32"/>
      <c r="I394" s="32"/>
      <c r="K394" s="32"/>
      <c r="L394" s="32"/>
      <c r="M394" s="32"/>
      <c r="N394" s="37"/>
      <c r="O394" s="37"/>
      <c r="P394" s="37"/>
      <c r="Q394" s="37"/>
      <c r="X394" s="40"/>
      <c r="Y394" s="40"/>
      <c r="AE394" s="18"/>
      <c r="AF394" s="18"/>
      <c r="AG394" s="18"/>
      <c r="AH394" s="18"/>
      <c r="AI394" s="18"/>
      <c r="AJ394" s="18"/>
      <c r="AK394" s="18"/>
      <c r="AQ394" s="48"/>
      <c r="AR394" s="48"/>
      <c r="AS394" s="48"/>
      <c r="AT394" s="48"/>
      <c r="AU394" s="48"/>
      <c r="AV394" s="48"/>
      <c r="AW394" s="48"/>
      <c r="AX394" s="48"/>
      <c r="AY394" s="48"/>
      <c r="AZ394" s="48"/>
      <c r="BA394" s="48"/>
      <c r="BB394" s="48"/>
      <c r="BC394" s="48"/>
      <c r="BD394" s="48"/>
      <c r="BE394" s="40"/>
      <c r="BF394" s="40"/>
      <c r="BL394" s="40"/>
      <c r="BM394" s="40"/>
    </row>
    <row r="395" spans="7:65" x14ac:dyDescent="0.35">
      <c r="G395" s="32"/>
      <c r="H395" s="32"/>
      <c r="I395" s="32"/>
      <c r="K395" s="32"/>
      <c r="L395" s="32"/>
      <c r="M395" s="32"/>
      <c r="N395" s="37"/>
      <c r="O395" s="37"/>
      <c r="P395" s="37"/>
      <c r="Q395" s="37"/>
      <c r="X395" s="40"/>
      <c r="Y395" s="40"/>
      <c r="AE395" s="18"/>
      <c r="AF395" s="18"/>
      <c r="AG395" s="18"/>
      <c r="AH395" s="18"/>
      <c r="AI395" s="18"/>
      <c r="AJ395" s="18"/>
      <c r="AK395" s="18"/>
      <c r="AQ395" s="48"/>
      <c r="AR395" s="48"/>
      <c r="AS395" s="48"/>
      <c r="AT395" s="48"/>
      <c r="AU395" s="48"/>
      <c r="AV395" s="48"/>
      <c r="AW395" s="48"/>
      <c r="AX395" s="48"/>
      <c r="AY395" s="48"/>
      <c r="AZ395" s="48"/>
      <c r="BA395" s="48"/>
      <c r="BB395" s="48"/>
      <c r="BC395" s="48"/>
      <c r="BD395" s="48"/>
      <c r="BE395" s="40"/>
      <c r="BF395" s="40"/>
      <c r="BL395" s="40"/>
      <c r="BM395" s="40"/>
    </row>
    <row r="396" spans="7:65" x14ac:dyDescent="0.35">
      <c r="G396" s="32"/>
      <c r="H396" s="32"/>
      <c r="I396" s="32"/>
      <c r="K396" s="32"/>
      <c r="L396" s="32"/>
      <c r="M396" s="32"/>
      <c r="N396" s="37"/>
      <c r="O396" s="37"/>
      <c r="P396" s="37"/>
      <c r="Q396" s="37"/>
      <c r="X396" s="40"/>
      <c r="Y396" s="40"/>
      <c r="AE396" s="18"/>
      <c r="AF396" s="18"/>
      <c r="AG396" s="18"/>
      <c r="AH396" s="18"/>
      <c r="AI396" s="18"/>
      <c r="AJ396" s="18"/>
      <c r="AK396" s="18"/>
      <c r="AQ396" s="48"/>
      <c r="AR396" s="48"/>
      <c r="AS396" s="48"/>
      <c r="AT396" s="48"/>
      <c r="AU396" s="48"/>
      <c r="AV396" s="48"/>
      <c r="AW396" s="48"/>
      <c r="AX396" s="48"/>
      <c r="AY396" s="48"/>
      <c r="AZ396" s="48"/>
      <c r="BA396" s="48"/>
      <c r="BB396" s="48"/>
      <c r="BC396" s="48"/>
      <c r="BD396" s="48"/>
      <c r="BE396" s="40"/>
      <c r="BF396" s="40"/>
      <c r="BL396" s="40"/>
      <c r="BM396" s="40"/>
    </row>
    <row r="397" spans="7:65" x14ac:dyDescent="0.35">
      <c r="G397" s="32"/>
      <c r="H397" s="32"/>
      <c r="I397" s="32"/>
      <c r="K397" s="32"/>
      <c r="L397" s="32"/>
      <c r="M397" s="32"/>
      <c r="N397" s="37"/>
      <c r="O397" s="37"/>
      <c r="P397" s="37"/>
      <c r="Q397" s="37"/>
      <c r="X397" s="40"/>
      <c r="Y397" s="40"/>
      <c r="AE397" s="18"/>
      <c r="AF397" s="18"/>
      <c r="AG397" s="18"/>
      <c r="AH397" s="18"/>
      <c r="AI397" s="18"/>
      <c r="AJ397" s="18"/>
      <c r="AK397" s="18"/>
      <c r="AQ397" s="48"/>
      <c r="AR397" s="48"/>
      <c r="AS397" s="48"/>
      <c r="AT397" s="48"/>
      <c r="AU397" s="48"/>
      <c r="AV397" s="48"/>
      <c r="AW397" s="48"/>
      <c r="AX397" s="48"/>
      <c r="AY397" s="48"/>
      <c r="AZ397" s="48"/>
      <c r="BA397" s="48"/>
      <c r="BB397" s="48"/>
      <c r="BC397" s="48"/>
      <c r="BD397" s="48"/>
      <c r="BE397" s="40"/>
      <c r="BF397" s="40"/>
      <c r="BL397" s="40"/>
      <c r="BM397" s="40"/>
    </row>
    <row r="398" spans="7:65" x14ac:dyDescent="0.35">
      <c r="G398" s="32"/>
      <c r="H398" s="32"/>
      <c r="I398" s="32"/>
      <c r="K398" s="32"/>
      <c r="L398" s="32"/>
      <c r="M398" s="32"/>
      <c r="N398" s="37"/>
      <c r="O398" s="37"/>
      <c r="P398" s="37"/>
      <c r="Q398" s="37"/>
      <c r="X398" s="40"/>
      <c r="Y398" s="40"/>
      <c r="AE398" s="18"/>
      <c r="AF398" s="18"/>
      <c r="AG398" s="18"/>
      <c r="AH398" s="18"/>
      <c r="AI398" s="18"/>
      <c r="AJ398" s="18"/>
      <c r="AK398" s="18"/>
      <c r="AQ398" s="48"/>
      <c r="AR398" s="48"/>
      <c r="AS398" s="48"/>
      <c r="AT398" s="48"/>
      <c r="AU398" s="48"/>
      <c r="AV398" s="48"/>
      <c r="AW398" s="48"/>
      <c r="AX398" s="48"/>
      <c r="AY398" s="48"/>
      <c r="AZ398" s="48"/>
      <c r="BA398" s="48"/>
      <c r="BB398" s="48"/>
      <c r="BC398" s="48"/>
      <c r="BD398" s="48"/>
      <c r="BE398" s="40"/>
      <c r="BF398" s="40"/>
      <c r="BL398" s="40"/>
      <c r="BM398" s="40"/>
    </row>
    <row r="399" spans="7:65" x14ac:dyDescent="0.35">
      <c r="AQ399" s="48"/>
      <c r="AR399" s="48"/>
      <c r="AS399" s="48"/>
      <c r="AT399" s="48"/>
      <c r="AU399" s="48"/>
      <c r="AV399" s="48"/>
      <c r="AW399" s="48"/>
      <c r="AX399" s="48"/>
      <c r="AY399" s="48"/>
      <c r="AZ399" s="48"/>
      <c r="BA399" s="48"/>
      <c r="BB399" s="48"/>
      <c r="BC399" s="48"/>
      <c r="BD399" s="48"/>
      <c r="BE399" s="40"/>
      <c r="BF399" s="40"/>
      <c r="BL399" s="40"/>
      <c r="BM399" s="40"/>
    </row>
    <row r="400" spans="7:65" x14ac:dyDescent="0.35">
      <c r="AQ400" s="48"/>
      <c r="AR400" s="48"/>
      <c r="AS400" s="48"/>
      <c r="AT400" s="48"/>
      <c r="AU400" s="48"/>
      <c r="AV400" s="48"/>
      <c r="AW400" s="48"/>
      <c r="AX400" s="48"/>
      <c r="AY400" s="48"/>
      <c r="AZ400" s="48"/>
      <c r="BA400" s="48"/>
      <c r="BB400" s="48"/>
      <c r="BC400" s="48"/>
      <c r="BD400" s="48"/>
      <c r="BE400" s="40"/>
      <c r="BF400" s="40"/>
      <c r="BL400" s="40"/>
      <c r="BM400" s="40"/>
    </row>
    <row r="401" spans="43:65" x14ac:dyDescent="0.35">
      <c r="AQ401" s="48"/>
      <c r="AR401" s="48"/>
      <c r="AS401" s="48"/>
      <c r="AT401" s="48"/>
      <c r="AU401" s="48"/>
      <c r="AV401" s="48"/>
      <c r="AW401" s="48"/>
      <c r="AX401" s="48"/>
      <c r="AY401" s="48"/>
      <c r="AZ401" s="48"/>
      <c r="BA401" s="48"/>
      <c r="BB401" s="48"/>
      <c r="BC401" s="48"/>
      <c r="BD401" s="48"/>
      <c r="BE401" s="40"/>
      <c r="BF401" s="40"/>
      <c r="BL401" s="40"/>
      <c r="BM401" s="40"/>
    </row>
    <row r="402" spans="43:65" x14ac:dyDescent="0.35">
      <c r="AQ402" s="48"/>
      <c r="AR402" s="48"/>
      <c r="AS402" s="48"/>
      <c r="AT402" s="48"/>
      <c r="AU402" s="48"/>
      <c r="AV402" s="48"/>
      <c r="AW402" s="48"/>
      <c r="AX402" s="48"/>
      <c r="AY402" s="48"/>
      <c r="AZ402" s="48"/>
      <c r="BA402" s="48"/>
      <c r="BB402" s="48"/>
      <c r="BC402" s="48"/>
      <c r="BD402" s="48"/>
      <c r="BE402" s="40"/>
      <c r="BF402" s="40"/>
      <c r="BL402" s="40"/>
      <c r="BM402" s="40"/>
    </row>
    <row r="403" spans="43:65" x14ac:dyDescent="0.35">
      <c r="AQ403" s="48"/>
      <c r="AR403" s="48"/>
      <c r="AS403" s="48"/>
      <c r="AT403" s="48"/>
      <c r="AU403" s="48"/>
      <c r="AV403" s="48"/>
      <c r="AW403" s="48"/>
      <c r="AX403" s="48"/>
      <c r="AY403" s="48"/>
      <c r="AZ403" s="48"/>
      <c r="BA403" s="48"/>
      <c r="BB403" s="48"/>
      <c r="BC403" s="48"/>
      <c r="BD403" s="48"/>
      <c r="BE403" s="40"/>
      <c r="BF403" s="40"/>
      <c r="BL403" s="40"/>
      <c r="BM403" s="40"/>
    </row>
    <row r="404" spans="43:65" x14ac:dyDescent="0.35">
      <c r="AQ404" s="48"/>
      <c r="AR404" s="48"/>
      <c r="AS404" s="48"/>
      <c r="AT404" s="48"/>
      <c r="AU404" s="48"/>
      <c r="AV404" s="48"/>
      <c r="AW404" s="48"/>
      <c r="AX404" s="48"/>
      <c r="AY404" s="48"/>
      <c r="AZ404" s="48"/>
      <c r="BA404" s="48"/>
      <c r="BB404" s="48"/>
      <c r="BC404" s="48"/>
      <c r="BD404" s="48"/>
      <c r="BE404" s="40"/>
      <c r="BF404" s="40"/>
      <c r="BL404" s="40"/>
      <c r="BM404" s="40"/>
    </row>
    <row r="405" spans="43:65" x14ac:dyDescent="0.35">
      <c r="AQ405" s="48"/>
      <c r="AR405" s="48"/>
      <c r="AS405" s="48"/>
      <c r="AT405" s="48"/>
      <c r="AU405" s="48"/>
      <c r="AV405" s="48"/>
      <c r="AW405" s="48"/>
      <c r="AX405" s="48"/>
      <c r="AY405" s="48"/>
      <c r="AZ405" s="48"/>
      <c r="BA405" s="48"/>
      <c r="BB405" s="48"/>
      <c r="BC405" s="48"/>
      <c r="BD405" s="48"/>
      <c r="BE405" s="40"/>
      <c r="BF405" s="40"/>
      <c r="BL405" s="40"/>
      <c r="BM405" s="40"/>
    </row>
    <row r="406" spans="43:65" x14ac:dyDescent="0.35">
      <c r="AQ406" s="48"/>
      <c r="AR406" s="48"/>
      <c r="AS406" s="48"/>
      <c r="AT406" s="48"/>
      <c r="AU406" s="48"/>
      <c r="AV406" s="48"/>
      <c r="AW406" s="48"/>
      <c r="AX406" s="48"/>
      <c r="AY406" s="48"/>
      <c r="AZ406" s="48"/>
      <c r="BA406" s="48"/>
      <c r="BB406" s="48"/>
      <c r="BC406" s="48"/>
      <c r="BD406" s="48"/>
      <c r="BE406" s="40"/>
      <c r="BF406" s="40"/>
      <c r="BL406" s="40"/>
      <c r="BM406" s="40"/>
    </row>
    <row r="407" spans="43:65" x14ac:dyDescent="0.35">
      <c r="AQ407" s="42"/>
      <c r="AR407" s="42"/>
      <c r="AS407" s="42"/>
      <c r="AT407" s="42"/>
      <c r="AU407" s="42"/>
      <c r="AV407" s="42"/>
      <c r="AW407" s="42"/>
      <c r="AX407" s="42"/>
      <c r="AY407" s="42"/>
      <c r="AZ407" s="42"/>
      <c r="BA407" s="42"/>
      <c r="BB407" s="42"/>
      <c r="BC407" s="42"/>
      <c r="BD407" s="48"/>
      <c r="BE407" s="40"/>
      <c r="BF407" s="40"/>
      <c r="BL407" s="40"/>
      <c r="BM407" s="40"/>
    </row>
    <row r="408" spans="43:65" x14ac:dyDescent="0.35"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  <c r="BC408" s="42"/>
      <c r="BD408" s="48"/>
      <c r="BE408" s="40"/>
      <c r="BF408" s="40"/>
      <c r="BL408" s="40"/>
      <c r="BM408" s="40"/>
    </row>
    <row r="409" spans="43:65" x14ac:dyDescent="0.35">
      <c r="AQ409" s="42"/>
      <c r="AR409" s="42"/>
      <c r="AS409" s="42"/>
      <c r="AT409" s="42"/>
      <c r="AU409" s="42"/>
      <c r="AV409" s="42"/>
      <c r="AW409" s="42"/>
      <c r="AX409" s="42"/>
      <c r="AY409" s="42"/>
      <c r="AZ409" s="42"/>
      <c r="BA409" s="42"/>
      <c r="BB409" s="42"/>
      <c r="BC409" s="42"/>
      <c r="BD409" s="48"/>
      <c r="BE409" s="40"/>
      <c r="BF409" s="40"/>
      <c r="BL409" s="40"/>
      <c r="BM409" s="40"/>
    </row>
    <row r="410" spans="43:65" x14ac:dyDescent="0.35"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  <c r="BC410" s="42"/>
      <c r="BD410" s="48"/>
      <c r="BE410" s="40"/>
      <c r="BF410" s="40"/>
      <c r="BL410" s="40"/>
      <c r="BM410" s="40"/>
    </row>
    <row r="411" spans="43:65" x14ac:dyDescent="0.35">
      <c r="AQ411" s="42"/>
      <c r="AR411" s="42"/>
      <c r="AS411" s="42"/>
      <c r="AT411" s="42"/>
      <c r="AU411" s="42"/>
      <c r="AV411" s="42"/>
      <c r="AW411" s="42"/>
      <c r="AX411" s="42"/>
      <c r="AY411" s="42"/>
      <c r="AZ411" s="42"/>
      <c r="BA411" s="42"/>
      <c r="BB411" s="42"/>
      <c r="BC411" s="42"/>
      <c r="BD411" s="48"/>
      <c r="BE411" s="40"/>
      <c r="BF411" s="40"/>
      <c r="BL411" s="40"/>
      <c r="BM411" s="40"/>
    </row>
    <row r="412" spans="43:65" x14ac:dyDescent="0.35"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  <c r="BC412" s="42"/>
      <c r="BD412" s="48"/>
      <c r="BE412" s="40"/>
      <c r="BF412" s="40"/>
      <c r="BL412" s="40"/>
      <c r="BM412" s="40"/>
    </row>
    <row r="413" spans="43:65" x14ac:dyDescent="0.35">
      <c r="AQ413" s="42"/>
      <c r="AR413" s="42"/>
      <c r="AS413" s="42"/>
      <c r="AT413" s="42"/>
      <c r="AU413" s="42"/>
      <c r="AV413" s="42"/>
      <c r="AW413" s="42"/>
      <c r="AX413" s="42"/>
      <c r="AY413" s="42"/>
      <c r="AZ413" s="42"/>
      <c r="BA413" s="42"/>
      <c r="BB413" s="42"/>
      <c r="BC413" s="42"/>
      <c r="BD413" s="48"/>
      <c r="BE413" s="40"/>
      <c r="BF413" s="40"/>
      <c r="BL413" s="40"/>
      <c r="BM413" s="40"/>
    </row>
    <row r="414" spans="43:65" x14ac:dyDescent="0.35"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  <c r="BC414" s="42"/>
      <c r="BD414" s="48"/>
      <c r="BE414" s="40"/>
      <c r="BF414" s="40"/>
      <c r="BL414" s="40"/>
      <c r="BM414" s="40"/>
    </row>
    <row r="415" spans="43:65" x14ac:dyDescent="0.35">
      <c r="AQ415" s="42"/>
      <c r="AR415" s="42"/>
      <c r="AS415" s="42"/>
      <c r="AT415" s="42"/>
      <c r="AU415" s="42"/>
      <c r="AV415" s="42"/>
      <c r="AW415" s="42"/>
      <c r="AX415" s="42"/>
      <c r="AY415" s="42"/>
      <c r="AZ415" s="42"/>
      <c r="BA415" s="42"/>
      <c r="BB415" s="42"/>
      <c r="BC415" s="42"/>
      <c r="BD415" s="48"/>
      <c r="BE415" s="40"/>
      <c r="BF415" s="40"/>
      <c r="BL415" s="40"/>
      <c r="BM415" s="40"/>
    </row>
    <row r="416" spans="43:65" x14ac:dyDescent="0.35"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  <c r="BC416" s="42"/>
      <c r="BD416" s="48"/>
      <c r="BE416" s="40"/>
      <c r="BF416" s="40"/>
      <c r="BL416" s="40"/>
      <c r="BM416" s="40"/>
    </row>
    <row r="417" spans="43:65" x14ac:dyDescent="0.35">
      <c r="AQ417" s="42"/>
      <c r="AR417" s="42"/>
      <c r="AS417" s="42"/>
      <c r="AT417" s="42"/>
      <c r="AU417" s="42"/>
      <c r="AV417" s="42"/>
      <c r="AW417" s="42"/>
      <c r="AX417" s="42"/>
      <c r="AY417" s="42"/>
      <c r="AZ417" s="42"/>
      <c r="BA417" s="42"/>
      <c r="BB417" s="42"/>
      <c r="BC417" s="42"/>
      <c r="BD417" s="48"/>
      <c r="BE417" s="40"/>
      <c r="BF417" s="40"/>
      <c r="BL417" s="40"/>
      <c r="BM417" s="40"/>
    </row>
    <row r="418" spans="43:65" x14ac:dyDescent="0.35"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  <c r="BC418" s="42"/>
      <c r="BD418" s="48"/>
      <c r="BE418" s="40"/>
      <c r="BF418" s="40"/>
      <c r="BL418" s="40"/>
      <c r="BM418" s="40"/>
    </row>
    <row r="419" spans="43:65" x14ac:dyDescent="0.35">
      <c r="AQ419" s="42"/>
      <c r="AR419" s="42"/>
      <c r="AS419" s="42"/>
      <c r="AT419" s="42"/>
      <c r="AU419" s="42"/>
      <c r="AV419" s="42"/>
      <c r="AW419" s="42"/>
      <c r="AX419" s="42"/>
      <c r="AY419" s="42"/>
      <c r="AZ419" s="42"/>
      <c r="BA419" s="42"/>
      <c r="BB419" s="42"/>
      <c r="BC419" s="42"/>
      <c r="BD419" s="48"/>
      <c r="BE419" s="40"/>
      <c r="BF419" s="40"/>
      <c r="BL419" s="40"/>
      <c r="BM419" s="40"/>
    </row>
    <row r="420" spans="43:65" x14ac:dyDescent="0.35"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  <c r="BC420" s="42"/>
      <c r="BD420" s="48"/>
      <c r="BE420" s="40"/>
      <c r="BF420" s="40"/>
      <c r="BL420" s="40"/>
      <c r="BM420" s="40"/>
    </row>
    <row r="421" spans="43:65" x14ac:dyDescent="0.35">
      <c r="AQ421" s="42"/>
      <c r="AR421" s="42"/>
      <c r="AS421" s="42"/>
      <c r="AT421" s="42"/>
      <c r="AU421" s="42"/>
      <c r="AV421" s="42"/>
      <c r="AW421" s="42"/>
      <c r="AX421" s="42"/>
      <c r="AY421" s="42"/>
      <c r="AZ421" s="42"/>
      <c r="BA421" s="42"/>
      <c r="BB421" s="42"/>
      <c r="BC421" s="42"/>
      <c r="BD421" s="48"/>
      <c r="BE421" s="40"/>
      <c r="BF421" s="40"/>
      <c r="BL421" s="40"/>
      <c r="BM421" s="40"/>
    </row>
    <row r="422" spans="43:65" x14ac:dyDescent="0.35"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  <c r="BC422" s="42"/>
      <c r="BD422" s="48"/>
      <c r="BE422" s="40"/>
      <c r="BF422" s="40"/>
      <c r="BL422" s="40"/>
      <c r="BM422" s="40"/>
    </row>
    <row r="423" spans="43:65" x14ac:dyDescent="0.35">
      <c r="AQ423" s="42"/>
      <c r="AR423" s="42"/>
      <c r="AS423" s="42"/>
      <c r="AT423" s="42"/>
      <c r="AU423" s="42"/>
      <c r="AV423" s="42"/>
      <c r="AW423" s="42"/>
      <c r="AX423" s="42"/>
      <c r="AY423" s="42"/>
      <c r="AZ423" s="42"/>
      <c r="BA423" s="42"/>
      <c r="BB423" s="42"/>
      <c r="BC423" s="42"/>
      <c r="BD423" s="48"/>
      <c r="BE423" s="40"/>
      <c r="BF423" s="40"/>
      <c r="BL423" s="40"/>
      <c r="BM423" s="40"/>
    </row>
    <row r="424" spans="43:65" x14ac:dyDescent="0.35"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  <c r="BC424" s="42"/>
      <c r="BD424" s="48"/>
      <c r="BE424" s="40"/>
      <c r="BF424" s="40"/>
      <c r="BL424" s="40"/>
      <c r="BM424" s="40"/>
    </row>
    <row r="425" spans="43:65" x14ac:dyDescent="0.35">
      <c r="AQ425" s="42"/>
      <c r="AR425" s="42"/>
      <c r="AS425" s="42"/>
      <c r="AT425" s="42"/>
      <c r="AU425" s="42"/>
      <c r="AV425" s="42"/>
      <c r="AW425" s="42"/>
      <c r="AX425" s="42"/>
      <c r="AY425" s="42"/>
      <c r="AZ425" s="42"/>
      <c r="BA425" s="42"/>
      <c r="BB425" s="42"/>
      <c r="BC425" s="42"/>
      <c r="BD425" s="48"/>
      <c r="BE425" s="40"/>
      <c r="BF425" s="40"/>
      <c r="BL425" s="40"/>
      <c r="BM425" s="40"/>
    </row>
    <row r="426" spans="43:65" x14ac:dyDescent="0.35"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  <c r="BC426" s="42"/>
      <c r="BD426" s="48"/>
      <c r="BE426" s="40"/>
      <c r="BF426" s="40"/>
      <c r="BL426" s="40"/>
      <c r="BM426" s="40"/>
    </row>
    <row r="427" spans="43:65" x14ac:dyDescent="0.35">
      <c r="AQ427" s="42"/>
      <c r="AR427" s="42"/>
      <c r="AS427" s="42"/>
      <c r="AT427" s="42"/>
      <c r="AU427" s="42"/>
      <c r="AV427" s="42"/>
      <c r="AW427" s="42"/>
      <c r="AX427" s="42"/>
      <c r="AY427" s="42"/>
      <c r="AZ427" s="42"/>
      <c r="BA427" s="42"/>
      <c r="BB427" s="42"/>
      <c r="BC427" s="42"/>
      <c r="BD427" s="48"/>
      <c r="BE427" s="40"/>
      <c r="BF427" s="40"/>
      <c r="BL427" s="40"/>
      <c r="BM427" s="40"/>
    </row>
    <row r="428" spans="43:65" x14ac:dyDescent="0.35">
      <c r="AQ428" s="48"/>
      <c r="AR428" s="48"/>
      <c r="AS428" s="48"/>
      <c r="AT428" s="48"/>
      <c r="AU428" s="48"/>
      <c r="AV428" s="48"/>
      <c r="AW428" s="48"/>
      <c r="AX428" s="48"/>
      <c r="AY428" s="48"/>
      <c r="AZ428" s="48"/>
      <c r="BA428" s="48"/>
      <c r="BB428" s="48"/>
      <c r="BC428" s="48"/>
      <c r="BD428" s="48"/>
      <c r="BE428" s="40"/>
      <c r="BF428" s="40"/>
      <c r="BL428" s="40"/>
      <c r="BM428" s="40"/>
    </row>
    <row r="429" spans="43:65" x14ac:dyDescent="0.35">
      <c r="AQ429" s="48"/>
      <c r="AR429" s="48"/>
      <c r="AS429" s="48"/>
      <c r="AT429" s="48"/>
      <c r="AU429" s="48"/>
      <c r="AV429" s="48"/>
      <c r="AW429" s="48"/>
      <c r="AX429" s="48"/>
      <c r="AY429" s="48"/>
      <c r="AZ429" s="48"/>
      <c r="BA429" s="48"/>
      <c r="BB429" s="48"/>
      <c r="BC429" s="48"/>
      <c r="BD429" s="48"/>
      <c r="BE429" s="40"/>
      <c r="BF429" s="40"/>
      <c r="BL429" s="40"/>
      <c r="BM429" s="40"/>
    </row>
    <row r="430" spans="43:65" x14ac:dyDescent="0.35">
      <c r="AQ430" s="48"/>
      <c r="AR430" s="48"/>
      <c r="AS430" s="48"/>
      <c r="AT430" s="48"/>
      <c r="AU430" s="48"/>
      <c r="AV430" s="48"/>
      <c r="AW430" s="48"/>
      <c r="AX430" s="48"/>
      <c r="AY430" s="48"/>
      <c r="AZ430" s="48"/>
      <c r="BA430" s="48"/>
      <c r="BB430" s="48"/>
      <c r="BC430" s="48"/>
      <c r="BD430" s="48"/>
      <c r="BE430" s="40"/>
      <c r="BF430" s="40"/>
      <c r="BL430" s="40"/>
      <c r="BM430" s="40"/>
    </row>
    <row r="431" spans="43:65" x14ac:dyDescent="0.35">
      <c r="AQ431" s="48"/>
      <c r="AR431" s="48"/>
      <c r="AS431" s="48"/>
      <c r="AT431" s="48"/>
      <c r="AU431" s="48"/>
      <c r="AV431" s="48"/>
      <c r="AW431" s="48"/>
      <c r="AX431" s="48"/>
      <c r="AY431" s="48"/>
      <c r="AZ431" s="48"/>
      <c r="BA431" s="48"/>
      <c r="BB431" s="48"/>
      <c r="BC431" s="48"/>
      <c r="BD431" s="48"/>
      <c r="BE431" s="40"/>
      <c r="BF431" s="40"/>
      <c r="BL431" s="40"/>
      <c r="BM431" s="40"/>
    </row>
    <row r="432" spans="43:65" x14ac:dyDescent="0.35">
      <c r="AQ432" s="48"/>
      <c r="AR432" s="48"/>
      <c r="AS432" s="48"/>
      <c r="AT432" s="48"/>
      <c r="AU432" s="48"/>
      <c r="AV432" s="48"/>
      <c r="AW432" s="48"/>
      <c r="AX432" s="48"/>
      <c r="AY432" s="48"/>
      <c r="AZ432" s="48"/>
      <c r="BA432" s="48"/>
      <c r="BB432" s="48"/>
      <c r="BC432" s="48"/>
      <c r="BD432" s="48"/>
      <c r="BE432" s="40"/>
      <c r="BF432" s="40"/>
      <c r="BL432" s="40"/>
      <c r="BM432" s="40"/>
    </row>
    <row r="433" spans="43:65" x14ac:dyDescent="0.35">
      <c r="AQ433" s="48"/>
      <c r="AR433" s="48"/>
      <c r="AS433" s="48"/>
      <c r="AT433" s="48"/>
      <c r="AU433" s="48"/>
      <c r="AV433" s="48"/>
      <c r="AW433" s="48"/>
      <c r="AX433" s="48"/>
      <c r="AY433" s="48"/>
      <c r="AZ433" s="48"/>
      <c r="BA433" s="48"/>
      <c r="BB433" s="48"/>
      <c r="BC433" s="48"/>
      <c r="BD433" s="48"/>
      <c r="BE433" s="40"/>
      <c r="BF433" s="40"/>
      <c r="BL433" s="40"/>
      <c r="BM433" s="40"/>
    </row>
    <row r="434" spans="43:65" x14ac:dyDescent="0.35">
      <c r="AQ434" s="48"/>
      <c r="AR434" s="48"/>
      <c r="AS434" s="48"/>
      <c r="AT434" s="48"/>
      <c r="AU434" s="48"/>
      <c r="AV434" s="48"/>
      <c r="AW434" s="48"/>
      <c r="AX434" s="48"/>
      <c r="AY434" s="48"/>
      <c r="AZ434" s="48"/>
      <c r="BA434" s="48"/>
      <c r="BB434" s="48"/>
      <c r="BC434" s="48"/>
      <c r="BD434" s="48"/>
      <c r="BE434" s="40"/>
      <c r="BF434" s="40"/>
      <c r="BL434" s="40"/>
      <c r="BM434" s="40"/>
    </row>
    <row r="435" spans="43:65" x14ac:dyDescent="0.35">
      <c r="AQ435" s="48"/>
      <c r="AR435" s="48"/>
      <c r="AS435" s="48"/>
      <c r="AT435" s="48"/>
      <c r="AU435" s="48"/>
      <c r="AV435" s="48"/>
      <c r="AW435" s="48"/>
      <c r="AX435" s="48"/>
      <c r="AY435" s="48"/>
      <c r="AZ435" s="48"/>
      <c r="BA435" s="48"/>
      <c r="BB435" s="48"/>
      <c r="BC435" s="48"/>
      <c r="BD435" s="48"/>
      <c r="BE435" s="40"/>
      <c r="BF435" s="40"/>
      <c r="BL435" s="40"/>
      <c r="BM435" s="40"/>
    </row>
    <row r="436" spans="43:65" x14ac:dyDescent="0.35">
      <c r="AQ436" s="48"/>
      <c r="AR436" s="48"/>
      <c r="AS436" s="48"/>
      <c r="AT436" s="48"/>
      <c r="AU436" s="48"/>
      <c r="AV436" s="48"/>
      <c r="AW436" s="48"/>
      <c r="AX436" s="48"/>
      <c r="AY436" s="48"/>
      <c r="AZ436" s="48"/>
      <c r="BA436" s="48"/>
      <c r="BB436" s="48"/>
      <c r="BC436" s="48"/>
      <c r="BD436" s="48"/>
      <c r="BE436" s="40"/>
      <c r="BF436" s="40"/>
      <c r="BL436" s="40"/>
      <c r="BM436" s="40"/>
    </row>
    <row r="437" spans="43:65" ht="27.7" customHeight="1" x14ac:dyDescent="0.35">
      <c r="AQ437" s="48"/>
      <c r="AR437" s="48"/>
      <c r="AS437" s="48"/>
      <c r="AT437" s="48"/>
      <c r="AU437" s="48"/>
      <c r="AV437" s="48"/>
      <c r="AW437" s="48"/>
      <c r="AX437" s="48"/>
      <c r="AY437" s="48"/>
      <c r="AZ437" s="48"/>
      <c r="BA437" s="48"/>
      <c r="BB437" s="48"/>
      <c r="BC437" s="48"/>
      <c r="BD437" s="48"/>
      <c r="BE437" s="40"/>
      <c r="BF437" s="40"/>
      <c r="BL437" s="40"/>
      <c r="BM437" s="40"/>
    </row>
    <row r="438" spans="43:65" x14ac:dyDescent="0.35">
      <c r="AQ438" s="48"/>
      <c r="AR438" s="48"/>
      <c r="AS438" s="48"/>
      <c r="AT438" s="48"/>
      <c r="AU438" s="48"/>
      <c r="AV438" s="48"/>
      <c r="AW438" s="48"/>
      <c r="AX438" s="48"/>
      <c r="AY438" s="48"/>
      <c r="AZ438" s="48"/>
      <c r="BA438" s="48"/>
      <c r="BB438" s="48"/>
      <c r="BC438" s="48"/>
      <c r="BD438" s="48"/>
      <c r="BE438" s="40"/>
      <c r="BF438" s="40"/>
      <c r="BL438" s="40"/>
      <c r="BM438" s="40"/>
    </row>
    <row r="439" spans="43:65" x14ac:dyDescent="0.35">
      <c r="AQ439" s="48"/>
      <c r="AR439" s="48"/>
      <c r="AS439" s="48"/>
      <c r="AT439" s="48"/>
      <c r="AU439" s="48"/>
      <c r="AV439" s="48"/>
      <c r="AW439" s="48"/>
      <c r="AX439" s="48"/>
      <c r="AY439" s="48"/>
      <c r="AZ439" s="48"/>
      <c r="BA439" s="48"/>
      <c r="BB439" s="48"/>
      <c r="BC439" s="48"/>
      <c r="BD439" s="48"/>
      <c r="BE439" s="40"/>
      <c r="BF439" s="40"/>
      <c r="BL439" s="40"/>
      <c r="BM439" s="40"/>
    </row>
    <row r="440" spans="43:65" x14ac:dyDescent="0.35">
      <c r="AQ440" s="48"/>
      <c r="AR440" s="48"/>
      <c r="AS440" s="48"/>
      <c r="AT440" s="48"/>
      <c r="AU440" s="48"/>
      <c r="AV440" s="48"/>
      <c r="AW440" s="48"/>
      <c r="AX440" s="48"/>
      <c r="AY440" s="48"/>
      <c r="AZ440" s="48"/>
      <c r="BA440" s="48"/>
      <c r="BB440" s="48"/>
      <c r="BC440" s="48"/>
      <c r="BD440" s="48"/>
      <c r="BE440" s="40"/>
      <c r="BF440" s="40"/>
      <c r="BL440" s="40"/>
      <c r="BM440" s="40"/>
    </row>
    <row r="441" spans="43:65" x14ac:dyDescent="0.35">
      <c r="AQ441" s="48"/>
      <c r="AR441" s="48"/>
      <c r="AS441" s="48"/>
      <c r="AT441" s="48"/>
      <c r="AU441" s="48"/>
      <c r="AV441" s="48"/>
      <c r="AW441" s="48"/>
      <c r="AX441" s="48"/>
      <c r="AY441" s="48"/>
      <c r="AZ441" s="48"/>
      <c r="BA441" s="48"/>
      <c r="BB441" s="48"/>
      <c r="BC441" s="48"/>
      <c r="BD441" s="48"/>
      <c r="BE441" s="40"/>
      <c r="BF441" s="40"/>
      <c r="BL441" s="40"/>
      <c r="BM441" s="40"/>
    </row>
    <row r="442" spans="43:65" x14ac:dyDescent="0.35">
      <c r="AQ442" s="48"/>
      <c r="AR442" s="48"/>
      <c r="AS442" s="48"/>
      <c r="AT442" s="48"/>
      <c r="AU442" s="48"/>
      <c r="AV442" s="48"/>
      <c r="AW442" s="48"/>
      <c r="AX442" s="48"/>
      <c r="AY442" s="48"/>
      <c r="AZ442" s="48"/>
      <c r="BA442" s="48"/>
      <c r="BB442" s="48"/>
      <c r="BC442" s="48"/>
      <c r="BD442" s="48"/>
      <c r="BE442" s="40"/>
      <c r="BF442" s="40"/>
      <c r="BL442" s="40"/>
      <c r="BM442" s="40"/>
    </row>
    <row r="443" spans="43:65" x14ac:dyDescent="0.35">
      <c r="AQ443" s="48"/>
      <c r="AR443" s="48"/>
      <c r="AS443" s="48"/>
      <c r="AT443" s="48"/>
      <c r="AU443" s="48"/>
      <c r="AV443" s="48"/>
      <c r="AW443" s="48"/>
      <c r="AX443" s="48"/>
      <c r="AY443" s="48"/>
      <c r="AZ443" s="48"/>
      <c r="BA443" s="48"/>
      <c r="BB443" s="48"/>
      <c r="BC443" s="48"/>
      <c r="BD443" s="48"/>
      <c r="BE443" s="40"/>
      <c r="BF443" s="40"/>
      <c r="BL443" s="40"/>
      <c r="BM443" s="40"/>
    </row>
    <row r="444" spans="43:65" x14ac:dyDescent="0.35">
      <c r="AQ444" s="48"/>
      <c r="AR444" s="48"/>
      <c r="AS444" s="48"/>
      <c r="AT444" s="48"/>
      <c r="AU444" s="48"/>
      <c r="AV444" s="48"/>
      <c r="AW444" s="48"/>
      <c r="AX444" s="48"/>
      <c r="AY444" s="48"/>
      <c r="AZ444" s="48"/>
      <c r="BA444" s="48"/>
      <c r="BB444" s="48"/>
      <c r="BC444" s="48"/>
      <c r="BD444" s="48"/>
      <c r="BE444" s="40"/>
      <c r="BF444" s="40"/>
      <c r="BL444" s="40"/>
      <c r="BM444" s="40"/>
    </row>
    <row r="445" spans="43:65" x14ac:dyDescent="0.35">
      <c r="AQ445" s="48"/>
      <c r="AR445" s="48"/>
      <c r="AS445" s="48"/>
      <c r="AT445" s="48"/>
      <c r="AU445" s="48"/>
      <c r="AV445" s="48"/>
      <c r="AW445" s="48"/>
      <c r="AX445" s="48"/>
      <c r="AY445" s="48"/>
      <c r="AZ445" s="48"/>
      <c r="BA445" s="48"/>
      <c r="BB445" s="48"/>
      <c r="BC445" s="48"/>
      <c r="BD445" s="48"/>
      <c r="BE445" s="40"/>
      <c r="BF445" s="40"/>
      <c r="BL445" s="40"/>
      <c r="BM445" s="40"/>
    </row>
    <row r="446" spans="43:65" x14ac:dyDescent="0.35">
      <c r="AQ446" s="48"/>
      <c r="AR446" s="48"/>
      <c r="AS446" s="48"/>
      <c r="AT446" s="48"/>
      <c r="AU446" s="48"/>
      <c r="AV446" s="48"/>
      <c r="AW446" s="48"/>
      <c r="AX446" s="48"/>
      <c r="AY446" s="48"/>
      <c r="AZ446" s="48"/>
      <c r="BA446" s="48"/>
      <c r="BB446" s="48"/>
      <c r="BC446" s="48"/>
      <c r="BD446" s="48"/>
      <c r="BE446" s="40"/>
      <c r="BF446" s="40"/>
      <c r="BL446" s="40"/>
      <c r="BM446" s="40"/>
    </row>
    <row r="447" spans="43:65" x14ac:dyDescent="0.35">
      <c r="AQ447" s="48"/>
      <c r="AR447" s="48"/>
      <c r="AS447" s="48"/>
      <c r="AT447" s="48"/>
      <c r="AU447" s="48"/>
      <c r="AV447" s="48"/>
      <c r="AW447" s="48"/>
      <c r="AX447" s="48"/>
      <c r="AY447" s="48"/>
      <c r="AZ447" s="48"/>
      <c r="BA447" s="48"/>
      <c r="BB447" s="48"/>
      <c r="BC447" s="48"/>
      <c r="BD447" s="48"/>
      <c r="BE447" s="40"/>
      <c r="BF447" s="40"/>
      <c r="BL447" s="40"/>
      <c r="BM447" s="40"/>
    </row>
    <row r="448" spans="43:65" x14ac:dyDescent="0.35">
      <c r="AQ448" s="48"/>
      <c r="AR448" s="48"/>
      <c r="AS448" s="48"/>
      <c r="AT448" s="48"/>
      <c r="AU448" s="48"/>
      <c r="AV448" s="48"/>
      <c r="AW448" s="48"/>
      <c r="AX448" s="48"/>
      <c r="AY448" s="48"/>
      <c r="AZ448" s="48"/>
      <c r="BA448" s="48"/>
      <c r="BB448" s="48"/>
      <c r="BC448" s="48"/>
      <c r="BD448" s="48"/>
      <c r="BE448" s="40"/>
      <c r="BF448" s="40"/>
      <c r="BL448" s="40"/>
      <c r="BM448" s="40"/>
    </row>
    <row r="449" spans="43:65" x14ac:dyDescent="0.35">
      <c r="AQ449" s="48"/>
      <c r="AR449" s="48"/>
      <c r="AS449" s="48"/>
      <c r="AT449" s="48"/>
      <c r="AU449" s="48"/>
      <c r="AV449" s="48"/>
      <c r="AW449" s="48"/>
      <c r="AX449" s="48"/>
      <c r="AY449" s="48"/>
      <c r="AZ449" s="48"/>
      <c r="BA449" s="48"/>
      <c r="BB449" s="48"/>
      <c r="BC449" s="48"/>
      <c r="BD449" s="48"/>
      <c r="BE449" s="40"/>
      <c r="BF449" s="40"/>
      <c r="BL449" s="40"/>
      <c r="BM449" s="40"/>
    </row>
    <row r="450" spans="43:65" x14ac:dyDescent="0.35">
      <c r="AQ450" s="48"/>
      <c r="AR450" s="48"/>
      <c r="AS450" s="48"/>
      <c r="AT450" s="48"/>
      <c r="AU450" s="48"/>
      <c r="AV450" s="48"/>
      <c r="AW450" s="48"/>
      <c r="AX450" s="48"/>
      <c r="AY450" s="48"/>
      <c r="AZ450" s="48"/>
      <c r="BA450" s="48"/>
      <c r="BB450" s="48"/>
      <c r="BC450" s="48"/>
      <c r="BD450" s="48"/>
      <c r="BE450" s="40"/>
      <c r="BF450" s="40"/>
      <c r="BL450" s="40"/>
      <c r="BM450" s="40"/>
    </row>
    <row r="451" spans="43:65" x14ac:dyDescent="0.35">
      <c r="AQ451" s="48"/>
      <c r="AR451" s="48"/>
      <c r="AS451" s="48"/>
      <c r="AT451" s="48"/>
      <c r="AU451" s="48"/>
      <c r="AV451" s="48"/>
      <c r="AW451" s="48"/>
      <c r="AX451" s="48"/>
      <c r="AY451" s="48"/>
      <c r="AZ451" s="48"/>
      <c r="BA451" s="48"/>
      <c r="BB451" s="48"/>
      <c r="BC451" s="48"/>
      <c r="BD451" s="48"/>
      <c r="BE451" s="40"/>
      <c r="BF451" s="40"/>
      <c r="BL451" s="40"/>
      <c r="BM451" s="40"/>
    </row>
    <row r="452" spans="43:65" x14ac:dyDescent="0.35">
      <c r="AQ452" s="48"/>
      <c r="AR452" s="48"/>
      <c r="AS452" s="48"/>
      <c r="AT452" s="48"/>
      <c r="AU452" s="48"/>
      <c r="AV452" s="48"/>
      <c r="AW452" s="48"/>
      <c r="AX452" s="48"/>
      <c r="AY452" s="48"/>
      <c r="AZ452" s="48"/>
      <c r="BA452" s="48"/>
      <c r="BB452" s="48"/>
      <c r="BC452" s="48"/>
      <c r="BD452" s="48"/>
      <c r="BE452" s="40"/>
      <c r="BF452" s="40"/>
      <c r="BL452" s="40"/>
      <c r="BM452" s="40"/>
    </row>
    <row r="453" spans="43:65" x14ac:dyDescent="0.35">
      <c r="AQ453" s="48"/>
      <c r="AR453" s="48"/>
      <c r="AS453" s="48"/>
      <c r="AT453" s="48"/>
      <c r="AU453" s="48"/>
      <c r="AV453" s="48"/>
      <c r="AW453" s="48"/>
      <c r="AX453" s="48"/>
      <c r="AY453" s="48"/>
      <c r="AZ453" s="48"/>
      <c r="BA453" s="48"/>
      <c r="BB453" s="48"/>
      <c r="BC453" s="48"/>
      <c r="BD453" s="48"/>
      <c r="BE453" s="40"/>
      <c r="BF453" s="40"/>
      <c r="BL453" s="40"/>
      <c r="BM453" s="40"/>
    </row>
    <row r="454" spans="43:65" x14ac:dyDescent="0.35">
      <c r="AQ454" s="48"/>
      <c r="AR454" s="48"/>
      <c r="AS454" s="48"/>
      <c r="AT454" s="48"/>
      <c r="AU454" s="48"/>
      <c r="AV454" s="48"/>
      <c r="AW454" s="48"/>
      <c r="AX454" s="48"/>
      <c r="AY454" s="48"/>
      <c r="AZ454" s="48"/>
      <c r="BA454" s="48"/>
      <c r="BB454" s="48"/>
      <c r="BC454" s="48"/>
      <c r="BD454" s="48"/>
      <c r="BE454" s="40"/>
      <c r="BF454" s="40"/>
      <c r="BL454" s="40"/>
      <c r="BM454" s="40"/>
    </row>
    <row r="455" spans="43:65" x14ac:dyDescent="0.35">
      <c r="AQ455" s="48"/>
      <c r="AR455" s="48"/>
      <c r="AS455" s="48"/>
      <c r="AT455" s="48"/>
      <c r="AU455" s="48"/>
      <c r="AV455" s="48"/>
      <c r="AW455" s="48"/>
      <c r="AX455" s="48"/>
      <c r="AY455" s="48"/>
      <c r="AZ455" s="48"/>
      <c r="BA455" s="48"/>
      <c r="BB455" s="48"/>
      <c r="BC455" s="48"/>
      <c r="BD455" s="48"/>
      <c r="BE455" s="40"/>
      <c r="BF455" s="40"/>
      <c r="BL455" s="40"/>
      <c r="BM455" s="40"/>
    </row>
    <row r="456" spans="43:65" x14ac:dyDescent="0.35">
      <c r="AQ456" s="48"/>
      <c r="AR456" s="48"/>
      <c r="AS456" s="48"/>
      <c r="AT456" s="48"/>
      <c r="AU456" s="48"/>
      <c r="AV456" s="48"/>
      <c r="AW456" s="48"/>
      <c r="AX456" s="48"/>
      <c r="AY456" s="48"/>
      <c r="AZ456" s="48"/>
      <c r="BA456" s="48"/>
      <c r="BB456" s="48"/>
      <c r="BC456" s="48"/>
      <c r="BD456" s="48"/>
      <c r="BE456" s="40"/>
      <c r="BF456" s="40"/>
      <c r="BL456" s="40"/>
      <c r="BM456" s="40"/>
    </row>
    <row r="457" spans="43:65" x14ac:dyDescent="0.35">
      <c r="AQ457" s="48"/>
      <c r="AR457" s="48"/>
      <c r="AS457" s="48"/>
      <c r="AT457" s="48"/>
      <c r="AU457" s="48"/>
      <c r="AV457" s="48"/>
      <c r="AW457" s="48"/>
      <c r="AX457" s="48"/>
      <c r="AY457" s="48"/>
      <c r="AZ457" s="48"/>
      <c r="BA457" s="48"/>
      <c r="BB457" s="48"/>
      <c r="BC457" s="48"/>
      <c r="BD457" s="48"/>
      <c r="BE457" s="40"/>
      <c r="BF457" s="40"/>
      <c r="BL457" s="40"/>
      <c r="BM457" s="40"/>
    </row>
    <row r="458" spans="43:65" x14ac:dyDescent="0.35">
      <c r="AQ458" s="48"/>
      <c r="AR458" s="48"/>
      <c r="AS458" s="48"/>
      <c r="AT458" s="48"/>
      <c r="AU458" s="48"/>
      <c r="AV458" s="48"/>
      <c r="AW458" s="48"/>
      <c r="AX458" s="48"/>
      <c r="AY458" s="48"/>
      <c r="AZ458" s="48"/>
      <c r="BA458" s="48"/>
      <c r="BB458" s="48"/>
      <c r="BC458" s="48"/>
      <c r="BD458" s="48"/>
      <c r="BE458" s="40"/>
      <c r="BF458" s="40"/>
      <c r="BL458" s="40"/>
      <c r="BM458" s="40"/>
    </row>
    <row r="459" spans="43:65" x14ac:dyDescent="0.35">
      <c r="AQ459" s="48"/>
      <c r="AR459" s="48"/>
      <c r="AS459" s="48"/>
      <c r="AT459" s="48"/>
      <c r="AU459" s="48"/>
      <c r="AV459" s="48"/>
      <c r="AW459" s="48"/>
      <c r="AX459" s="48"/>
      <c r="AY459" s="48"/>
      <c r="AZ459" s="48"/>
      <c r="BA459" s="48"/>
      <c r="BB459" s="48"/>
      <c r="BC459" s="48"/>
      <c r="BD459" s="48"/>
      <c r="BE459" s="40"/>
      <c r="BF459" s="40"/>
      <c r="BL459" s="40"/>
      <c r="BM459" s="40"/>
    </row>
    <row r="460" spans="43:65" x14ac:dyDescent="0.35">
      <c r="AQ460" s="48"/>
      <c r="AR460" s="48"/>
      <c r="AS460" s="48"/>
      <c r="AT460" s="48"/>
      <c r="AU460" s="48"/>
      <c r="AV460" s="48"/>
      <c r="AW460" s="48"/>
      <c r="AX460" s="48"/>
      <c r="AY460" s="48"/>
      <c r="AZ460" s="48"/>
      <c r="BA460" s="48"/>
      <c r="BB460" s="48"/>
      <c r="BC460" s="48"/>
      <c r="BD460" s="48"/>
      <c r="BE460" s="40"/>
      <c r="BF460" s="40"/>
      <c r="BL460" s="40"/>
      <c r="BM460" s="40"/>
    </row>
    <row r="461" spans="43:65" x14ac:dyDescent="0.35">
      <c r="AQ461" s="48"/>
      <c r="AR461" s="48"/>
      <c r="AS461" s="48"/>
      <c r="AT461" s="48"/>
      <c r="AU461" s="48"/>
      <c r="AV461" s="48"/>
      <c r="AW461" s="48"/>
      <c r="AX461" s="48"/>
      <c r="AY461" s="48"/>
      <c r="AZ461" s="48"/>
      <c r="BA461" s="48"/>
      <c r="BB461" s="48"/>
      <c r="BC461" s="48"/>
      <c r="BD461" s="48"/>
      <c r="BE461" s="40"/>
      <c r="BF461" s="40"/>
      <c r="BL461" s="40"/>
      <c r="BM461" s="40"/>
    </row>
    <row r="462" spans="43:65" x14ac:dyDescent="0.35">
      <c r="AQ462" s="48"/>
      <c r="AR462" s="48"/>
      <c r="AS462" s="48"/>
      <c r="AT462" s="48"/>
      <c r="AU462" s="48"/>
      <c r="AV462" s="48"/>
      <c r="AW462" s="48"/>
      <c r="AX462" s="48"/>
      <c r="AY462" s="48"/>
      <c r="AZ462" s="48"/>
      <c r="BA462" s="48"/>
      <c r="BB462" s="48"/>
      <c r="BC462" s="48"/>
      <c r="BD462" s="48"/>
      <c r="BE462" s="40"/>
      <c r="BF462" s="40"/>
      <c r="BL462" s="40"/>
      <c r="BM462" s="40"/>
    </row>
    <row r="463" spans="43:65" x14ac:dyDescent="0.35">
      <c r="AQ463" s="48"/>
      <c r="AR463" s="48"/>
      <c r="AS463" s="48"/>
      <c r="AT463" s="48"/>
      <c r="AU463" s="48"/>
      <c r="AV463" s="48"/>
      <c r="AW463" s="48"/>
      <c r="AX463" s="48"/>
      <c r="AY463" s="48"/>
      <c r="AZ463" s="48"/>
      <c r="BA463" s="48"/>
      <c r="BB463" s="48"/>
      <c r="BC463" s="48"/>
      <c r="BD463" s="48"/>
      <c r="BE463" s="40"/>
      <c r="BF463" s="40"/>
      <c r="BL463" s="40"/>
      <c r="BM463" s="40"/>
    </row>
    <row r="464" spans="43:65" x14ac:dyDescent="0.35">
      <c r="AQ464" s="48"/>
      <c r="AR464" s="48"/>
      <c r="AS464" s="48"/>
      <c r="AT464" s="48"/>
      <c r="AU464" s="48"/>
      <c r="AV464" s="48"/>
      <c r="AW464" s="48"/>
      <c r="AX464" s="48"/>
      <c r="AY464" s="48"/>
      <c r="AZ464" s="48"/>
      <c r="BA464" s="48"/>
      <c r="BB464" s="48"/>
      <c r="BC464" s="48"/>
      <c r="BD464" s="48"/>
      <c r="BE464" s="40"/>
      <c r="BF464" s="40"/>
      <c r="BL464" s="40"/>
      <c r="BM464" s="40"/>
    </row>
    <row r="465" spans="43:65" x14ac:dyDescent="0.35">
      <c r="AQ465" s="48"/>
      <c r="AR465" s="48"/>
      <c r="AS465" s="48"/>
      <c r="AT465" s="48"/>
      <c r="AU465" s="48"/>
      <c r="AV465" s="48"/>
      <c r="AW465" s="48"/>
      <c r="AX465" s="48"/>
      <c r="AY465" s="48"/>
      <c r="AZ465" s="48"/>
      <c r="BA465" s="48"/>
      <c r="BB465" s="48"/>
      <c r="BC465" s="48"/>
      <c r="BD465" s="48"/>
      <c r="BE465" s="40"/>
      <c r="BF465" s="40"/>
      <c r="BL465" s="40"/>
      <c r="BM465" s="40"/>
    </row>
    <row r="466" spans="43:65" x14ac:dyDescent="0.35">
      <c r="AQ466" s="48"/>
      <c r="AR466" s="48"/>
      <c r="AS466" s="48"/>
      <c r="AT466" s="48"/>
      <c r="AU466" s="48"/>
      <c r="AV466" s="48"/>
      <c r="AW466" s="48"/>
      <c r="AX466" s="48"/>
      <c r="AY466" s="48"/>
      <c r="AZ466" s="48"/>
      <c r="BA466" s="48"/>
      <c r="BB466" s="48"/>
      <c r="BC466" s="48"/>
      <c r="BD466" s="48"/>
      <c r="BE466" s="40"/>
      <c r="BF466" s="40"/>
      <c r="BL466" s="40"/>
      <c r="BM466" s="40"/>
    </row>
    <row r="467" spans="43:65" x14ac:dyDescent="0.35">
      <c r="AQ467" s="48"/>
      <c r="AR467" s="48"/>
      <c r="AS467" s="48"/>
      <c r="AT467" s="48"/>
      <c r="AU467" s="48"/>
      <c r="AV467" s="48"/>
      <c r="AW467" s="48"/>
      <c r="AX467" s="48"/>
      <c r="AY467" s="48"/>
      <c r="AZ467" s="48"/>
      <c r="BA467" s="48"/>
      <c r="BB467" s="48"/>
      <c r="BC467" s="48"/>
      <c r="BD467" s="48"/>
      <c r="BE467" s="40"/>
      <c r="BF467" s="40"/>
      <c r="BL467" s="40"/>
      <c r="BM467" s="40"/>
    </row>
    <row r="468" spans="43:65" x14ac:dyDescent="0.35">
      <c r="AQ468" s="48"/>
      <c r="AR468" s="48"/>
      <c r="AS468" s="48"/>
      <c r="AT468" s="48"/>
      <c r="AU468" s="48"/>
      <c r="AV468" s="48"/>
      <c r="AW468" s="48"/>
      <c r="AX468" s="48"/>
      <c r="AY468" s="48"/>
      <c r="AZ468" s="48"/>
      <c r="BA468" s="48"/>
      <c r="BB468" s="48"/>
      <c r="BC468" s="48"/>
      <c r="BD468" s="48"/>
      <c r="BE468" s="40"/>
      <c r="BF468" s="40"/>
      <c r="BL468" s="40"/>
      <c r="BM468" s="40"/>
    </row>
    <row r="469" spans="43:65" x14ac:dyDescent="0.35">
      <c r="AQ469" s="48"/>
      <c r="AR469" s="48"/>
      <c r="AS469" s="48"/>
      <c r="AT469" s="48"/>
      <c r="AU469" s="48"/>
      <c r="AV469" s="48"/>
      <c r="AW469" s="48"/>
      <c r="AX469" s="48"/>
      <c r="AY469" s="48"/>
      <c r="AZ469" s="48"/>
      <c r="BA469" s="48"/>
      <c r="BB469" s="48"/>
      <c r="BC469" s="48"/>
      <c r="BD469" s="48"/>
      <c r="BE469" s="40"/>
      <c r="BF469" s="40"/>
      <c r="BL469" s="40"/>
      <c r="BM469" s="40"/>
    </row>
    <row r="470" spans="43:65" x14ac:dyDescent="0.35">
      <c r="AQ470" s="48"/>
      <c r="AR470" s="48"/>
      <c r="AS470" s="48"/>
      <c r="AT470" s="48"/>
      <c r="AU470" s="48"/>
      <c r="AV470" s="48"/>
      <c r="AW470" s="48"/>
      <c r="AX470" s="48"/>
      <c r="AY470" s="48"/>
      <c r="AZ470" s="48"/>
      <c r="BA470" s="48"/>
      <c r="BB470" s="48"/>
      <c r="BC470" s="48"/>
      <c r="BD470" s="48"/>
      <c r="BE470" s="40"/>
      <c r="BF470" s="40"/>
      <c r="BL470" s="40"/>
      <c r="BM470" s="40"/>
    </row>
    <row r="471" spans="43:65" x14ac:dyDescent="0.35">
      <c r="AQ471" s="48"/>
      <c r="AR471" s="48"/>
      <c r="AS471" s="48"/>
      <c r="AT471" s="48"/>
      <c r="AU471" s="48"/>
      <c r="AV471" s="48"/>
      <c r="AW471" s="48"/>
      <c r="AX471" s="48"/>
      <c r="AY471" s="48"/>
      <c r="AZ471" s="48"/>
      <c r="BA471" s="48"/>
      <c r="BB471" s="48"/>
      <c r="BC471" s="48"/>
      <c r="BD471" s="48"/>
      <c r="BE471" s="40"/>
      <c r="BF471" s="40"/>
      <c r="BL471" s="40"/>
      <c r="BM471" s="40"/>
    </row>
    <row r="472" spans="43:65" x14ac:dyDescent="0.35">
      <c r="AQ472" s="48"/>
      <c r="AR472" s="48"/>
      <c r="AS472" s="48"/>
      <c r="AT472" s="48"/>
      <c r="AU472" s="48"/>
      <c r="AV472" s="48"/>
      <c r="AW472" s="48"/>
      <c r="AX472" s="48"/>
      <c r="AY472" s="48"/>
      <c r="AZ472" s="48"/>
      <c r="BA472" s="48"/>
      <c r="BB472" s="48"/>
      <c r="BC472" s="48"/>
      <c r="BD472" s="48"/>
      <c r="BE472" s="40"/>
      <c r="BF472" s="40"/>
      <c r="BL472" s="40"/>
      <c r="BM472" s="40"/>
    </row>
    <row r="473" spans="43:65" x14ac:dyDescent="0.35">
      <c r="AQ473" s="48"/>
      <c r="AR473" s="48"/>
      <c r="AS473" s="48"/>
      <c r="AT473" s="48"/>
      <c r="AU473" s="48"/>
      <c r="AV473" s="48"/>
      <c r="AW473" s="48"/>
      <c r="AX473" s="48"/>
      <c r="AY473" s="48"/>
      <c r="AZ473" s="48"/>
      <c r="BA473" s="48"/>
      <c r="BB473" s="48"/>
      <c r="BC473" s="48"/>
      <c r="BD473" s="48"/>
      <c r="BE473" s="40"/>
      <c r="BF473" s="40"/>
      <c r="BL473" s="40"/>
      <c r="BM473" s="40"/>
    </row>
    <row r="474" spans="43:65" x14ac:dyDescent="0.35">
      <c r="AQ474" s="48"/>
      <c r="AR474" s="48"/>
      <c r="AS474" s="48"/>
      <c r="AT474" s="48"/>
      <c r="AU474" s="48"/>
      <c r="AV474" s="48"/>
      <c r="AW474" s="48"/>
      <c r="AX474" s="48"/>
      <c r="AY474" s="48"/>
      <c r="AZ474" s="48"/>
      <c r="BA474" s="48"/>
      <c r="BB474" s="48"/>
      <c r="BC474" s="48"/>
      <c r="BD474" s="48"/>
      <c r="BE474" s="40"/>
      <c r="BF474" s="40"/>
      <c r="BL474" s="40"/>
      <c r="BM474" s="40"/>
    </row>
    <row r="475" spans="43:65" x14ac:dyDescent="0.35">
      <c r="AQ475" s="48"/>
      <c r="AR475" s="48"/>
      <c r="AS475" s="48"/>
      <c r="AT475" s="48"/>
      <c r="AU475" s="48"/>
      <c r="AV475" s="48"/>
      <c r="AW475" s="48"/>
      <c r="AX475" s="48"/>
      <c r="AY475" s="48"/>
      <c r="AZ475" s="48"/>
      <c r="BA475" s="48"/>
      <c r="BB475" s="48"/>
      <c r="BC475" s="48"/>
      <c r="BD475" s="48"/>
      <c r="BE475" s="40"/>
      <c r="BF475" s="40"/>
      <c r="BL475" s="40"/>
      <c r="BM475" s="40"/>
    </row>
    <row r="476" spans="43:65" x14ac:dyDescent="0.35">
      <c r="AQ476" s="48"/>
      <c r="AR476" s="48"/>
      <c r="AS476" s="48"/>
      <c r="AT476" s="48"/>
      <c r="AU476" s="48"/>
      <c r="AV476" s="48"/>
      <c r="AW476" s="48"/>
      <c r="AX476" s="48"/>
      <c r="AY476" s="48"/>
      <c r="AZ476" s="48"/>
      <c r="BA476" s="48"/>
      <c r="BB476" s="48"/>
      <c r="BC476" s="48"/>
      <c r="BD476" s="48"/>
      <c r="BE476" s="40"/>
      <c r="BF476" s="40"/>
      <c r="BL476" s="40"/>
      <c r="BM476" s="40"/>
    </row>
    <row r="477" spans="43:65" x14ac:dyDescent="0.35">
      <c r="AQ477" s="48"/>
      <c r="AR477" s="48"/>
      <c r="AS477" s="48"/>
      <c r="AT477" s="48"/>
      <c r="AU477" s="48"/>
      <c r="AV477" s="48"/>
      <c r="AW477" s="48"/>
      <c r="AX477" s="48"/>
      <c r="AY477" s="48"/>
      <c r="AZ477" s="48"/>
      <c r="BA477" s="48"/>
      <c r="BB477" s="48"/>
      <c r="BC477" s="48"/>
      <c r="BD477" s="48"/>
      <c r="BE477" s="40"/>
      <c r="BF477" s="40"/>
      <c r="BL477" s="40"/>
      <c r="BM477" s="40"/>
    </row>
    <row r="478" spans="43:65" x14ac:dyDescent="0.35">
      <c r="AQ478" s="48"/>
      <c r="AR478" s="48"/>
      <c r="AS478" s="48"/>
      <c r="AT478" s="48"/>
      <c r="AU478" s="48"/>
      <c r="AV478" s="48"/>
      <c r="AW478" s="48"/>
      <c r="AX478" s="48"/>
      <c r="AY478" s="48"/>
      <c r="AZ478" s="48"/>
      <c r="BA478" s="48"/>
      <c r="BB478" s="48"/>
      <c r="BC478" s="48"/>
      <c r="BD478" s="48"/>
      <c r="BE478" s="40"/>
      <c r="BF478" s="40"/>
      <c r="BL478" s="40"/>
      <c r="BM478" s="40"/>
    </row>
    <row r="479" spans="43:65" x14ac:dyDescent="0.35">
      <c r="AQ479" s="48"/>
      <c r="AR479" s="48"/>
      <c r="AS479" s="48"/>
      <c r="AT479" s="48"/>
      <c r="AU479" s="48"/>
      <c r="AV479" s="48"/>
      <c r="AW479" s="48"/>
      <c r="AX479" s="48"/>
      <c r="AY479" s="48"/>
      <c r="AZ479" s="48"/>
      <c r="BA479" s="48"/>
      <c r="BB479" s="48"/>
      <c r="BC479" s="48"/>
      <c r="BD479" s="48"/>
      <c r="BE479" s="40"/>
      <c r="BF479" s="40"/>
      <c r="BL479" s="40"/>
      <c r="BM479" s="40"/>
    </row>
    <row r="480" spans="43:65" x14ac:dyDescent="0.35">
      <c r="AQ480" s="48"/>
      <c r="AR480" s="48"/>
      <c r="AS480" s="48"/>
      <c r="AT480" s="48"/>
      <c r="AU480" s="48"/>
      <c r="AV480" s="48"/>
      <c r="AW480" s="48"/>
      <c r="AX480" s="48"/>
      <c r="AY480" s="48"/>
      <c r="AZ480" s="48"/>
      <c r="BA480" s="48"/>
      <c r="BB480" s="48"/>
      <c r="BC480" s="48"/>
      <c r="BD480" s="48"/>
      <c r="BE480" s="40"/>
      <c r="BF480" s="40"/>
      <c r="BL480" s="40"/>
      <c r="BM480" s="40"/>
    </row>
    <row r="481" spans="43:65" x14ac:dyDescent="0.35">
      <c r="AQ481" s="48"/>
      <c r="AR481" s="48"/>
      <c r="AS481" s="48"/>
      <c r="AT481" s="48"/>
      <c r="AU481" s="48"/>
      <c r="AV481" s="48"/>
      <c r="AW481" s="48"/>
      <c r="AX481" s="48"/>
      <c r="AY481" s="48"/>
      <c r="AZ481" s="48"/>
      <c r="BA481" s="48"/>
      <c r="BB481" s="48"/>
      <c r="BC481" s="48"/>
      <c r="BD481" s="48"/>
      <c r="BE481" s="40"/>
      <c r="BF481" s="40"/>
      <c r="BL481" s="40"/>
      <c r="BM481" s="40"/>
    </row>
    <row r="482" spans="43:65" x14ac:dyDescent="0.35">
      <c r="AQ482" s="48"/>
      <c r="AR482" s="48"/>
      <c r="AS482" s="48"/>
      <c r="AT482" s="48"/>
      <c r="AU482" s="48"/>
      <c r="AV482" s="48"/>
      <c r="AW482" s="48"/>
      <c r="AX482" s="48"/>
      <c r="AY482" s="48"/>
      <c r="AZ482" s="48"/>
      <c r="BA482" s="48"/>
      <c r="BB482" s="48"/>
      <c r="BC482" s="48"/>
      <c r="BD482" s="48"/>
      <c r="BE482" s="40"/>
      <c r="BF482" s="40"/>
      <c r="BL482" s="40"/>
      <c r="BM482" s="40"/>
    </row>
    <row r="483" spans="43:65" x14ac:dyDescent="0.35">
      <c r="AQ483" s="48"/>
      <c r="AR483" s="48"/>
      <c r="AS483" s="48"/>
      <c r="AT483" s="48"/>
      <c r="AU483" s="48"/>
      <c r="AV483" s="48"/>
      <c r="AW483" s="48"/>
      <c r="AX483" s="48"/>
      <c r="AY483" s="48"/>
      <c r="AZ483" s="48"/>
      <c r="BA483" s="48"/>
      <c r="BB483" s="48"/>
      <c r="BC483" s="48"/>
      <c r="BD483" s="48"/>
      <c r="BE483" s="40"/>
      <c r="BF483" s="40"/>
      <c r="BL483" s="40"/>
      <c r="BM483" s="40"/>
    </row>
    <row r="484" spans="43:65" x14ac:dyDescent="0.35">
      <c r="AQ484" s="48"/>
      <c r="AR484" s="48"/>
      <c r="AS484" s="48"/>
      <c r="AT484" s="48"/>
      <c r="AU484" s="48"/>
      <c r="AV484" s="48"/>
      <c r="AW484" s="48"/>
      <c r="AX484" s="48"/>
      <c r="AY484" s="48"/>
      <c r="AZ484" s="48"/>
      <c r="BA484" s="48"/>
      <c r="BB484" s="48"/>
      <c r="BC484" s="48"/>
      <c r="BD484" s="48"/>
      <c r="BE484" s="40"/>
      <c r="BF484" s="40"/>
      <c r="BL484" s="40"/>
      <c r="BM484" s="40"/>
    </row>
    <row r="485" spans="43:65" x14ac:dyDescent="0.35">
      <c r="AQ485" s="48"/>
      <c r="AR485" s="48"/>
      <c r="AS485" s="48"/>
      <c r="AT485" s="48"/>
      <c r="AU485" s="48"/>
      <c r="AV485" s="48"/>
      <c r="AW485" s="48"/>
      <c r="AX485" s="48"/>
      <c r="AY485" s="48"/>
      <c r="AZ485" s="48"/>
      <c r="BA485" s="48"/>
      <c r="BB485" s="48"/>
      <c r="BC485" s="48"/>
      <c r="BD485" s="48"/>
      <c r="BE485" s="40"/>
      <c r="BF485" s="40"/>
      <c r="BL485" s="40"/>
      <c r="BM485" s="40"/>
    </row>
    <row r="486" spans="43:65" x14ac:dyDescent="0.35">
      <c r="AQ486" s="48"/>
      <c r="AR486" s="48"/>
      <c r="AS486" s="48"/>
      <c r="AT486" s="48"/>
      <c r="AU486" s="48"/>
      <c r="AV486" s="48"/>
      <c r="AW486" s="48"/>
      <c r="AX486" s="48"/>
      <c r="AY486" s="48"/>
      <c r="AZ486" s="48"/>
      <c r="BA486" s="48"/>
      <c r="BB486" s="48"/>
      <c r="BC486" s="48"/>
      <c r="BD486" s="48"/>
      <c r="BE486" s="40"/>
      <c r="BF486" s="40"/>
      <c r="BL486" s="40"/>
      <c r="BM486" s="40"/>
    </row>
    <row r="487" spans="43:65" x14ac:dyDescent="0.35">
      <c r="AQ487" s="48"/>
      <c r="AR487" s="48"/>
      <c r="AS487" s="48"/>
      <c r="AT487" s="48"/>
      <c r="AU487" s="48"/>
      <c r="AV487" s="48"/>
      <c r="AW487" s="48"/>
      <c r="AX487" s="48"/>
      <c r="AY487" s="48"/>
      <c r="AZ487" s="48"/>
      <c r="BA487" s="48"/>
      <c r="BB487" s="48"/>
      <c r="BC487" s="48"/>
      <c r="BD487" s="48"/>
      <c r="BE487" s="40"/>
      <c r="BF487" s="40"/>
      <c r="BL487" s="40"/>
      <c r="BM487" s="40"/>
    </row>
    <row r="488" spans="43:65" x14ac:dyDescent="0.35">
      <c r="AQ488" s="48"/>
      <c r="AR488" s="48"/>
      <c r="AS488" s="48"/>
      <c r="AT488" s="48"/>
      <c r="AU488" s="48"/>
      <c r="AV488" s="48"/>
      <c r="AW488" s="48"/>
      <c r="AX488" s="48"/>
      <c r="AY488" s="48"/>
      <c r="AZ488" s="48"/>
      <c r="BA488" s="48"/>
      <c r="BB488" s="48"/>
      <c r="BC488" s="48"/>
      <c r="BD488" s="48"/>
      <c r="BE488" s="40"/>
      <c r="BF488" s="40"/>
      <c r="BL488" s="40"/>
      <c r="BM488" s="40"/>
    </row>
    <row r="489" spans="43:65" x14ac:dyDescent="0.35">
      <c r="BL489" s="40"/>
      <c r="BM489" s="40"/>
    </row>
    <row r="490" spans="43:65" x14ac:dyDescent="0.35">
      <c r="BL490" s="40"/>
      <c r="BM490" s="40"/>
    </row>
    <row r="491" spans="43:65" x14ac:dyDescent="0.35">
      <c r="BL491" s="40"/>
      <c r="BM491" s="40"/>
    </row>
    <row r="492" spans="43:65" x14ac:dyDescent="0.35">
      <c r="BL492" s="40"/>
      <c r="BM492" s="40"/>
    </row>
    <row r="493" spans="43:65" x14ac:dyDescent="0.35">
      <c r="BL493" s="40"/>
      <c r="BM493" s="40"/>
    </row>
    <row r="494" spans="43:65" x14ac:dyDescent="0.35">
      <c r="BL494" s="40"/>
      <c r="BM494" s="40"/>
    </row>
    <row r="495" spans="43:65" x14ac:dyDescent="0.35">
      <c r="BL495" s="40"/>
      <c r="BM495" s="40"/>
    </row>
    <row r="496" spans="43:65" x14ac:dyDescent="0.35">
      <c r="BL496" s="40"/>
      <c r="BM496" s="40"/>
    </row>
    <row r="497" spans="64:65" x14ac:dyDescent="0.35">
      <c r="BL497" s="40"/>
      <c r="BM497" s="40"/>
    </row>
    <row r="498" spans="64:65" x14ac:dyDescent="0.35">
      <c r="BL498" s="40"/>
      <c r="BM498" s="40"/>
    </row>
    <row r="499" spans="64:65" x14ac:dyDescent="0.35">
      <c r="BL499" s="40"/>
      <c r="BM499" s="40"/>
    </row>
    <row r="500" spans="64:65" x14ac:dyDescent="0.35">
      <c r="BL500" s="40"/>
      <c r="BM500" s="40"/>
    </row>
    <row r="501" spans="64:65" x14ac:dyDescent="0.35">
      <c r="BL501" s="40"/>
      <c r="BM501" s="40"/>
    </row>
    <row r="502" spans="64:65" x14ac:dyDescent="0.35">
      <c r="BL502" s="40"/>
      <c r="BM502" s="40"/>
    </row>
    <row r="503" spans="64:65" x14ac:dyDescent="0.35">
      <c r="BL503" s="40"/>
      <c r="BM503" s="40"/>
    </row>
    <row r="504" spans="64:65" x14ac:dyDescent="0.35">
      <c r="BL504" s="40"/>
      <c r="BM504" s="40"/>
    </row>
    <row r="505" spans="64:65" x14ac:dyDescent="0.35">
      <c r="BL505" s="40"/>
      <c r="BM505" s="40"/>
    </row>
    <row r="506" spans="64:65" x14ac:dyDescent="0.35">
      <c r="BL506" s="40"/>
      <c r="BM506" s="40"/>
    </row>
    <row r="507" spans="64:65" x14ac:dyDescent="0.35">
      <c r="BL507" s="40"/>
      <c r="BM507" s="40"/>
    </row>
    <row r="508" spans="64:65" x14ac:dyDescent="0.35">
      <c r="BL508" s="40"/>
      <c r="BM508" s="40"/>
    </row>
    <row r="509" spans="64:65" x14ac:dyDescent="0.35">
      <c r="BL509" s="40"/>
      <c r="BM509" s="40"/>
    </row>
    <row r="510" spans="64:65" x14ac:dyDescent="0.35">
      <c r="BL510" s="40"/>
      <c r="BM510" s="40"/>
    </row>
    <row r="511" spans="64:65" x14ac:dyDescent="0.35">
      <c r="BL511" s="40"/>
      <c r="BM511" s="40"/>
    </row>
    <row r="512" spans="64:65" x14ac:dyDescent="0.35">
      <c r="BL512" s="40"/>
      <c r="BM512" s="40"/>
    </row>
    <row r="513" spans="64:65" x14ac:dyDescent="0.35">
      <c r="BL513" s="40"/>
      <c r="BM513" s="40"/>
    </row>
    <row r="514" spans="64:65" x14ac:dyDescent="0.35">
      <c r="BL514" s="40"/>
      <c r="BM514" s="40"/>
    </row>
    <row r="515" spans="64:65" x14ac:dyDescent="0.35">
      <c r="BL515" s="40"/>
      <c r="BM515" s="40"/>
    </row>
    <row r="516" spans="64:65" x14ac:dyDescent="0.35">
      <c r="BL516" s="40"/>
      <c r="BM516" s="40"/>
    </row>
    <row r="517" spans="64:65" x14ac:dyDescent="0.35">
      <c r="BL517" s="40"/>
      <c r="BM517" s="40"/>
    </row>
    <row r="518" spans="64:65" x14ac:dyDescent="0.35">
      <c r="BL518" s="40"/>
      <c r="BM518" s="40"/>
    </row>
    <row r="519" spans="64:65" x14ac:dyDescent="0.35">
      <c r="BL519" s="40"/>
      <c r="BM519" s="40"/>
    </row>
    <row r="520" spans="64:65" x14ac:dyDescent="0.35">
      <c r="BL520" s="40"/>
      <c r="BM520" s="40"/>
    </row>
    <row r="521" spans="64:65" x14ac:dyDescent="0.35">
      <c r="BL521" s="40"/>
      <c r="BM521" s="40"/>
    </row>
    <row r="522" spans="64:65" x14ac:dyDescent="0.35">
      <c r="BL522" s="40"/>
      <c r="BM522" s="40"/>
    </row>
    <row r="523" spans="64:65" x14ac:dyDescent="0.35">
      <c r="BL523" s="40"/>
      <c r="BM523" s="40"/>
    </row>
    <row r="524" spans="64:65" x14ac:dyDescent="0.35">
      <c r="BL524" s="40"/>
      <c r="BM524" s="40"/>
    </row>
    <row r="525" spans="64:65" x14ac:dyDescent="0.35">
      <c r="BL525" s="40"/>
      <c r="BM525" s="40"/>
    </row>
    <row r="526" spans="64:65" x14ac:dyDescent="0.35">
      <c r="BL526" s="40"/>
      <c r="BM526" s="40"/>
    </row>
    <row r="527" spans="64:65" x14ac:dyDescent="0.35">
      <c r="BL527" s="40"/>
      <c r="BM527" s="40"/>
    </row>
    <row r="528" spans="64:65" x14ac:dyDescent="0.35">
      <c r="BL528" s="40"/>
      <c r="BM528" s="40"/>
    </row>
    <row r="529" spans="64:65" x14ac:dyDescent="0.35">
      <c r="BL529" s="40"/>
      <c r="BM529" s="40"/>
    </row>
    <row r="530" spans="64:65" x14ac:dyDescent="0.35">
      <c r="BL530" s="40"/>
      <c r="BM530" s="40"/>
    </row>
    <row r="531" spans="64:65" x14ac:dyDescent="0.35">
      <c r="BL531" s="40"/>
      <c r="BM531" s="40"/>
    </row>
    <row r="532" spans="64:65" x14ac:dyDescent="0.35">
      <c r="BL532" s="40"/>
      <c r="BM532" s="40"/>
    </row>
    <row r="533" spans="64:65" x14ac:dyDescent="0.35">
      <c r="BL533" s="40"/>
      <c r="BM533" s="40"/>
    </row>
    <row r="534" spans="64:65" x14ac:dyDescent="0.35">
      <c r="BL534" s="40"/>
      <c r="BM534" s="40"/>
    </row>
    <row r="535" spans="64:65" x14ac:dyDescent="0.35">
      <c r="BL535" s="40"/>
      <c r="BM535" s="40"/>
    </row>
    <row r="536" spans="64:65" x14ac:dyDescent="0.35">
      <c r="BL536" s="40"/>
      <c r="BM536" s="40"/>
    </row>
    <row r="537" spans="64:65" x14ac:dyDescent="0.35">
      <c r="BL537" s="40"/>
      <c r="BM537" s="40"/>
    </row>
    <row r="538" spans="64:65" x14ac:dyDescent="0.35">
      <c r="BL538" s="40"/>
      <c r="BM538" s="40"/>
    </row>
    <row r="539" spans="64:65" x14ac:dyDescent="0.35">
      <c r="BL539" s="40"/>
      <c r="BM539" s="40"/>
    </row>
    <row r="540" spans="64:65" x14ac:dyDescent="0.35">
      <c r="BL540" s="40"/>
      <c r="BM540" s="40"/>
    </row>
    <row r="541" spans="64:65" x14ac:dyDescent="0.35">
      <c r="BL541" s="40"/>
      <c r="BM541" s="40"/>
    </row>
    <row r="542" spans="64:65" x14ac:dyDescent="0.35">
      <c r="BL542" s="40"/>
      <c r="BM542" s="40"/>
    </row>
    <row r="543" spans="64:65" x14ac:dyDescent="0.35">
      <c r="BL543" s="40"/>
      <c r="BM543" s="40"/>
    </row>
    <row r="544" spans="64:65" x14ac:dyDescent="0.35">
      <c r="BL544" s="40"/>
      <c r="BM544" s="40"/>
    </row>
    <row r="545" spans="64:65" x14ac:dyDescent="0.35">
      <c r="BL545" s="40"/>
      <c r="BM545" s="40"/>
    </row>
    <row r="546" spans="64:65" x14ac:dyDescent="0.35">
      <c r="BL546" s="40"/>
      <c r="BM546" s="40"/>
    </row>
    <row r="547" spans="64:65" x14ac:dyDescent="0.35">
      <c r="BL547" s="40"/>
      <c r="BM547" s="40"/>
    </row>
    <row r="548" spans="64:65" x14ac:dyDescent="0.35">
      <c r="BL548" s="40"/>
      <c r="BM548" s="40"/>
    </row>
    <row r="549" spans="64:65" x14ac:dyDescent="0.35">
      <c r="BL549" s="40"/>
      <c r="BM549" s="40"/>
    </row>
    <row r="550" spans="64:65" x14ac:dyDescent="0.35">
      <c r="BL550" s="40"/>
      <c r="BM550" s="40"/>
    </row>
    <row r="551" spans="64:65" x14ac:dyDescent="0.35">
      <c r="BL551" s="40"/>
      <c r="BM551" s="40"/>
    </row>
    <row r="552" spans="64:65" x14ac:dyDescent="0.35">
      <c r="BL552" s="40"/>
      <c r="BM552" s="40"/>
    </row>
    <row r="567" spans="5:5" x14ac:dyDescent="0.35">
      <c r="E567" s="2" t="e">
        <f>MEDIAN(E5:E5)</f>
        <v>#NUM!</v>
      </c>
    </row>
  </sheetData>
  <mergeCells count="7">
    <mergeCell ref="BL3:BM3"/>
    <mergeCell ref="E3:M3"/>
    <mergeCell ref="Z3:AA3"/>
    <mergeCell ref="AE3:AH3"/>
    <mergeCell ref="AK3:AN3"/>
    <mergeCell ref="AR3:AU3"/>
    <mergeCell ref="BF3:BG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corr.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Serhiy Buryak</dc:creator>
  <cp:lastModifiedBy>Serhiy Buryak</cp:lastModifiedBy>
  <dcterms:created xsi:type="dcterms:W3CDTF">2025-04-10T19:52:35Z</dcterms:created>
  <dcterms:modified xsi:type="dcterms:W3CDTF">2025-04-11T00:26:06Z</dcterms:modified>
</cp:coreProperties>
</file>