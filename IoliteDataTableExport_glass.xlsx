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8"/>
  <workbookPr/>
  <mc:AlternateContent xmlns:mc="http://schemas.openxmlformats.org/markup-compatibility/2006">
    <mc:Choice Requires="x15">
      <x15ac:absPath xmlns:x15ac="http://schemas.microsoft.com/office/spreadsheetml/2010/11/ac" url="C:\Users\burya\Desktop\"/>
    </mc:Choice>
  </mc:AlternateContent>
  <xr:revisionPtr revIDLastSave="0" documentId="8_{1699FDAB-24A5-4888-AB60-B50070839647}" xr6:coauthVersionLast="47" xr6:coauthVersionMax="47" xr10:uidLastSave="{00000000-0000-0000-0000-000000000000}"/>
  <bookViews>
    <workbookView xWindow="3640" yWindow="2600" windowWidth="33630" windowHeight="15860" xr2:uid="{8EB31DFE-65EE-B042-B9F8-7427F5B30A03}"/>
  </bookViews>
  <sheets>
    <sheet name="Organized" sheetId="2" r:id="rId1"/>
  </sheets>
  <definedNames>
    <definedName name="_xlnm._FilterDatabase" localSheetId="0" hidden="1">Organized!$A$1:$AO$217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3" i="2" l="1"/>
  <c r="E213" i="2"/>
  <c r="G213" i="2"/>
  <c r="I213" i="2"/>
  <c r="K213" i="2"/>
  <c r="M213" i="2"/>
  <c r="N213" i="2"/>
  <c r="O213" i="2"/>
  <c r="P213" i="2"/>
  <c r="Q213" i="2"/>
  <c r="R213" i="2"/>
  <c r="S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AJ213" i="2"/>
  <c r="AK213" i="2"/>
  <c r="AL213" i="2"/>
  <c r="AM213" i="2"/>
  <c r="AN213" i="2"/>
  <c r="AO213" i="2"/>
  <c r="D214" i="2"/>
  <c r="E214" i="2"/>
  <c r="G214" i="2"/>
  <c r="I214" i="2"/>
  <c r="K214" i="2"/>
  <c r="M214" i="2"/>
  <c r="N214" i="2"/>
  <c r="O214" i="2"/>
  <c r="P214" i="2"/>
  <c r="Q214" i="2"/>
  <c r="R214" i="2"/>
  <c r="S214" i="2"/>
  <c r="T214" i="2"/>
  <c r="U214" i="2"/>
  <c r="V214" i="2"/>
  <c r="W214" i="2"/>
  <c r="X214" i="2"/>
  <c r="Y214" i="2"/>
  <c r="Z214" i="2"/>
  <c r="AA214" i="2"/>
  <c r="AB214" i="2"/>
  <c r="AC214" i="2"/>
  <c r="AD214" i="2"/>
  <c r="AE214" i="2"/>
  <c r="AF214" i="2"/>
  <c r="AG214" i="2"/>
  <c r="AH214" i="2"/>
  <c r="AI214" i="2"/>
  <c r="AJ214" i="2"/>
  <c r="AK214" i="2"/>
  <c r="AL214" i="2"/>
  <c r="AM214" i="2"/>
  <c r="AN214" i="2"/>
  <c r="AO214" i="2"/>
  <c r="C214" i="2"/>
  <c r="C213" i="2"/>
  <c r="D189" i="2"/>
  <c r="E189" i="2"/>
  <c r="G189" i="2"/>
  <c r="I189" i="2"/>
  <c r="K189" i="2"/>
  <c r="M189" i="2"/>
  <c r="N189" i="2"/>
  <c r="O189" i="2"/>
  <c r="P189" i="2"/>
  <c r="Q189" i="2"/>
  <c r="R189" i="2"/>
  <c r="S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AJ189" i="2"/>
  <c r="AK189" i="2"/>
  <c r="AL189" i="2"/>
  <c r="AM189" i="2"/>
  <c r="AN189" i="2"/>
  <c r="AO189" i="2"/>
  <c r="D190" i="2"/>
  <c r="E190" i="2"/>
  <c r="G190" i="2"/>
  <c r="I190" i="2"/>
  <c r="K190" i="2"/>
  <c r="M190" i="2"/>
  <c r="N190" i="2"/>
  <c r="O190" i="2"/>
  <c r="P190" i="2"/>
  <c r="Q190" i="2"/>
  <c r="R190" i="2"/>
  <c r="S190" i="2"/>
  <c r="T190" i="2"/>
  <c r="U190" i="2"/>
  <c r="V190" i="2"/>
  <c r="W190" i="2"/>
  <c r="X190" i="2"/>
  <c r="Y190" i="2"/>
  <c r="Z190" i="2"/>
  <c r="AA190" i="2"/>
  <c r="AB190" i="2"/>
  <c r="AC190" i="2"/>
  <c r="AD190" i="2"/>
  <c r="AE190" i="2"/>
  <c r="AF190" i="2"/>
  <c r="AG190" i="2"/>
  <c r="AH190" i="2"/>
  <c r="AI190" i="2"/>
  <c r="AJ190" i="2"/>
  <c r="AK190" i="2"/>
  <c r="AL190" i="2"/>
  <c r="AM190" i="2"/>
  <c r="AN190" i="2"/>
  <c r="AO190" i="2"/>
  <c r="C190" i="2"/>
  <c r="C189" i="2"/>
  <c r="D165" i="2"/>
  <c r="E165" i="2"/>
  <c r="G165" i="2"/>
  <c r="I165" i="2"/>
  <c r="K165" i="2"/>
  <c r="M165" i="2"/>
  <c r="N165" i="2"/>
  <c r="O165" i="2"/>
  <c r="P165" i="2"/>
  <c r="Q165" i="2"/>
  <c r="R165" i="2"/>
  <c r="S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AJ165" i="2"/>
  <c r="AK165" i="2"/>
  <c r="AL165" i="2"/>
  <c r="AM165" i="2"/>
  <c r="AN165" i="2"/>
  <c r="AO165" i="2"/>
  <c r="D166" i="2"/>
  <c r="E166" i="2"/>
  <c r="G166" i="2"/>
  <c r="I166" i="2"/>
  <c r="K166" i="2"/>
  <c r="M166" i="2"/>
  <c r="N166" i="2"/>
  <c r="O166" i="2"/>
  <c r="P166" i="2"/>
  <c r="Q166" i="2"/>
  <c r="R166" i="2"/>
  <c r="S166" i="2"/>
  <c r="T166" i="2"/>
  <c r="U166" i="2"/>
  <c r="V166" i="2"/>
  <c r="W166" i="2"/>
  <c r="X166" i="2"/>
  <c r="Y166" i="2"/>
  <c r="Z166" i="2"/>
  <c r="AA166" i="2"/>
  <c r="AB166" i="2"/>
  <c r="AC166" i="2"/>
  <c r="AD166" i="2"/>
  <c r="AE166" i="2"/>
  <c r="AF166" i="2"/>
  <c r="AG166" i="2"/>
  <c r="AH166" i="2"/>
  <c r="AI166" i="2"/>
  <c r="AJ166" i="2"/>
  <c r="AK166" i="2"/>
  <c r="AL166" i="2"/>
  <c r="AM166" i="2"/>
  <c r="AN166" i="2"/>
  <c r="AO166" i="2"/>
  <c r="C166" i="2"/>
  <c r="C165" i="2"/>
  <c r="D136" i="2"/>
  <c r="E136" i="2"/>
  <c r="G136" i="2"/>
  <c r="I136" i="2"/>
  <c r="K136" i="2"/>
  <c r="M136" i="2"/>
  <c r="N136" i="2"/>
  <c r="O136" i="2"/>
  <c r="P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D137" i="2"/>
  <c r="E137" i="2"/>
  <c r="G137" i="2"/>
  <c r="I137" i="2"/>
  <c r="K137" i="2"/>
  <c r="M137" i="2"/>
  <c r="N137" i="2"/>
  <c r="O137" i="2"/>
  <c r="P137" i="2"/>
  <c r="Q137" i="2"/>
  <c r="R137" i="2"/>
  <c r="S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AJ137" i="2"/>
  <c r="AK137" i="2"/>
  <c r="AL137" i="2"/>
  <c r="AM137" i="2"/>
  <c r="AN137" i="2"/>
  <c r="AO137" i="2"/>
  <c r="C137" i="2"/>
  <c r="C136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4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4" i="2"/>
  <c r="J213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4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4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11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11" i="2"/>
  <c r="L77" i="2"/>
  <c r="L78" i="2"/>
  <c r="L79" i="2"/>
  <c r="L80" i="2"/>
  <c r="L81" i="2"/>
  <c r="L82" i="2"/>
  <c r="L83" i="2"/>
  <c r="L84" i="2"/>
  <c r="L85" i="2"/>
  <c r="L86" i="2"/>
  <c r="L87" i="2"/>
  <c r="L76" i="2"/>
  <c r="J87" i="2"/>
  <c r="J77" i="2"/>
  <c r="J78" i="2"/>
  <c r="J79" i="2"/>
  <c r="J80" i="2"/>
  <c r="J81" i="2"/>
  <c r="J82" i="2"/>
  <c r="J83" i="2"/>
  <c r="J84" i="2"/>
  <c r="J85" i="2"/>
  <c r="J86" i="2"/>
  <c r="J76" i="2"/>
  <c r="H77" i="2"/>
  <c r="H78" i="2"/>
  <c r="H79" i="2"/>
  <c r="H80" i="2"/>
  <c r="H81" i="2"/>
  <c r="H82" i="2"/>
  <c r="H83" i="2"/>
  <c r="H84" i="2"/>
  <c r="H85" i="2"/>
  <c r="H86" i="2"/>
  <c r="H87" i="2"/>
  <c r="H76" i="2"/>
  <c r="F77" i="2"/>
  <c r="F78" i="2"/>
  <c r="F79" i="2"/>
  <c r="F80" i="2"/>
  <c r="F81" i="2"/>
  <c r="F82" i="2"/>
  <c r="F83" i="2"/>
  <c r="F84" i="2"/>
  <c r="F85" i="2"/>
  <c r="F86" i="2"/>
  <c r="F87" i="2"/>
  <c r="F76" i="2"/>
  <c r="D88" i="2"/>
  <c r="E88" i="2"/>
  <c r="G88" i="2"/>
  <c r="I88" i="2"/>
  <c r="K88" i="2"/>
  <c r="M88" i="2"/>
  <c r="N88" i="2"/>
  <c r="O88" i="2"/>
  <c r="O104" i="2"/>
  <c r="P88" i="2"/>
  <c r="P98" i="2"/>
  <c r="Q88" i="2"/>
  <c r="Q107" i="2"/>
  <c r="R88" i="2"/>
  <c r="R107" i="2"/>
  <c r="S88" i="2"/>
  <c r="T88" i="2"/>
  <c r="T104" i="2"/>
  <c r="U88" i="2"/>
  <c r="U101" i="2"/>
  <c r="V88" i="2"/>
  <c r="V107" i="2"/>
  <c r="W88" i="2"/>
  <c r="W101" i="2"/>
  <c r="X88" i="2"/>
  <c r="X101" i="2"/>
  <c r="Y88" i="2"/>
  <c r="Y101" i="2"/>
  <c r="Z88" i="2"/>
  <c r="Z98" i="2"/>
  <c r="AA88" i="2"/>
  <c r="AA98" i="2"/>
  <c r="AB88" i="2"/>
  <c r="AB101" i="2"/>
  <c r="AC88" i="2"/>
  <c r="AC107" i="2"/>
  <c r="AD88" i="2"/>
  <c r="AD101" i="2"/>
  <c r="AE88" i="2"/>
  <c r="AE101" i="2"/>
  <c r="AF88" i="2"/>
  <c r="AF92" i="2"/>
  <c r="AG88" i="2"/>
  <c r="AG95" i="2"/>
  <c r="AH88" i="2"/>
  <c r="AH98" i="2"/>
  <c r="AI88" i="2"/>
  <c r="AI92" i="2"/>
  <c r="AJ88" i="2"/>
  <c r="AJ98" i="2"/>
  <c r="AK88" i="2"/>
  <c r="AK98" i="2"/>
  <c r="AL88" i="2"/>
  <c r="AL107" i="2"/>
  <c r="AM88" i="2"/>
  <c r="AM107" i="2"/>
  <c r="AN88" i="2"/>
  <c r="AN95" i="2"/>
  <c r="AO88" i="2"/>
  <c r="AO101" i="2"/>
  <c r="D89" i="2"/>
  <c r="E89" i="2"/>
  <c r="G89" i="2"/>
  <c r="I89" i="2"/>
  <c r="K89" i="2"/>
  <c r="M89" i="2"/>
  <c r="N89" i="2"/>
  <c r="O89" i="2"/>
  <c r="P89" i="2"/>
  <c r="Q89" i="2"/>
  <c r="R89" i="2"/>
  <c r="S89" i="2"/>
  <c r="T89" i="2"/>
  <c r="U89" i="2"/>
  <c r="V89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C89" i="2"/>
  <c r="C88" i="2"/>
  <c r="L56" i="2"/>
  <c r="L57" i="2"/>
  <c r="L58" i="2"/>
  <c r="L59" i="2"/>
  <c r="L60" i="2"/>
  <c r="L61" i="2"/>
  <c r="L62" i="2"/>
  <c r="L63" i="2"/>
  <c r="L64" i="2"/>
  <c r="L65" i="2"/>
  <c r="L66" i="2"/>
  <c r="L55" i="2"/>
  <c r="J56" i="2"/>
  <c r="J57" i="2"/>
  <c r="J58" i="2"/>
  <c r="J59" i="2"/>
  <c r="J60" i="2"/>
  <c r="J61" i="2"/>
  <c r="J62" i="2"/>
  <c r="J63" i="2"/>
  <c r="J64" i="2"/>
  <c r="J65" i="2"/>
  <c r="J66" i="2"/>
  <c r="J55" i="2"/>
  <c r="H56" i="2"/>
  <c r="H57" i="2"/>
  <c r="H58" i="2"/>
  <c r="H59" i="2"/>
  <c r="H60" i="2"/>
  <c r="H61" i="2"/>
  <c r="H62" i="2"/>
  <c r="H63" i="2"/>
  <c r="H64" i="2"/>
  <c r="H65" i="2"/>
  <c r="H66" i="2"/>
  <c r="H55" i="2"/>
  <c r="F56" i="2"/>
  <c r="F57" i="2"/>
  <c r="F58" i="2"/>
  <c r="F59" i="2"/>
  <c r="F60" i="2"/>
  <c r="F61" i="2"/>
  <c r="F62" i="2"/>
  <c r="F63" i="2"/>
  <c r="F64" i="2"/>
  <c r="F65" i="2"/>
  <c r="F66" i="2"/>
  <c r="F55" i="2"/>
  <c r="D67" i="2"/>
  <c r="E67" i="2"/>
  <c r="G67" i="2"/>
  <c r="I67" i="2"/>
  <c r="K67" i="2"/>
  <c r="M67" i="2"/>
  <c r="N67" i="2"/>
  <c r="O67" i="2"/>
  <c r="O74" i="2"/>
  <c r="P67" i="2"/>
  <c r="P74" i="2"/>
  <c r="Q67" i="2"/>
  <c r="Q74" i="2"/>
  <c r="R67" i="2"/>
  <c r="R74" i="2"/>
  <c r="S67" i="2"/>
  <c r="T67" i="2"/>
  <c r="T73" i="2"/>
  <c r="U67" i="2"/>
  <c r="U73" i="2"/>
  <c r="V67" i="2"/>
  <c r="V73" i="2"/>
  <c r="W67" i="2"/>
  <c r="W73" i="2"/>
  <c r="X67" i="2"/>
  <c r="X73" i="2"/>
  <c r="Y67" i="2"/>
  <c r="Y73" i="2"/>
  <c r="Z67" i="2"/>
  <c r="Z74" i="2"/>
  <c r="AA67" i="2"/>
  <c r="AA74" i="2"/>
  <c r="AB67" i="2"/>
  <c r="AB74" i="2"/>
  <c r="AC67" i="2"/>
  <c r="AC74" i="2"/>
  <c r="AD67" i="2"/>
  <c r="AD73" i="2"/>
  <c r="AE67" i="2"/>
  <c r="AE73" i="2"/>
  <c r="AF67" i="2"/>
  <c r="AF74" i="2"/>
  <c r="AG67" i="2"/>
  <c r="AG73" i="2"/>
  <c r="AH67" i="2"/>
  <c r="AH73" i="2"/>
  <c r="AI67" i="2"/>
  <c r="AI73" i="2"/>
  <c r="AJ67" i="2"/>
  <c r="AJ74" i="2"/>
  <c r="AK67" i="2"/>
  <c r="AK74" i="2"/>
  <c r="AL67" i="2"/>
  <c r="AL74" i="2"/>
  <c r="AM67" i="2"/>
  <c r="AM74" i="2"/>
  <c r="AN67" i="2"/>
  <c r="AN74" i="2"/>
  <c r="AO67" i="2"/>
  <c r="AO73" i="2"/>
  <c r="D68" i="2"/>
  <c r="E68" i="2"/>
  <c r="G68" i="2"/>
  <c r="I68" i="2"/>
  <c r="K68" i="2"/>
  <c r="M68" i="2"/>
  <c r="N68" i="2"/>
  <c r="N73" i="2"/>
  <c r="O68" i="2"/>
  <c r="P68" i="2"/>
  <c r="Q68" i="2"/>
  <c r="R68" i="2"/>
  <c r="S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C68" i="2"/>
  <c r="C67" i="2"/>
  <c r="L48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29" i="2"/>
  <c r="D49" i="2"/>
  <c r="E49" i="2"/>
  <c r="G49" i="2"/>
  <c r="I49" i="2"/>
  <c r="K49" i="2"/>
  <c r="M49" i="2"/>
  <c r="N49" i="2"/>
  <c r="N53" i="2"/>
  <c r="O49" i="2"/>
  <c r="O53" i="2"/>
  <c r="P49" i="2"/>
  <c r="P53" i="2"/>
  <c r="Q49" i="2"/>
  <c r="Q53" i="2"/>
  <c r="R49" i="2"/>
  <c r="R53" i="2"/>
  <c r="S49" i="2"/>
  <c r="T49" i="2"/>
  <c r="T53" i="2"/>
  <c r="U49" i="2"/>
  <c r="U53" i="2"/>
  <c r="V49" i="2"/>
  <c r="V53" i="2"/>
  <c r="W49" i="2"/>
  <c r="W53" i="2"/>
  <c r="X49" i="2"/>
  <c r="X53" i="2"/>
  <c r="Y49" i="2"/>
  <c r="Y53" i="2"/>
  <c r="Z49" i="2"/>
  <c r="Z53" i="2"/>
  <c r="AA49" i="2"/>
  <c r="AA53" i="2"/>
  <c r="AB49" i="2"/>
  <c r="AB53" i="2"/>
  <c r="AC49" i="2"/>
  <c r="AC53" i="2"/>
  <c r="AD49" i="2"/>
  <c r="AD53" i="2"/>
  <c r="AE49" i="2"/>
  <c r="AE53" i="2"/>
  <c r="AF49" i="2"/>
  <c r="AF53" i="2"/>
  <c r="AG49" i="2"/>
  <c r="AG53" i="2"/>
  <c r="AH49" i="2"/>
  <c r="AH53" i="2"/>
  <c r="AI49" i="2"/>
  <c r="AI53" i="2"/>
  <c r="AJ49" i="2"/>
  <c r="AJ53" i="2"/>
  <c r="AK49" i="2"/>
  <c r="AK53" i="2"/>
  <c r="AL49" i="2"/>
  <c r="AL53" i="2"/>
  <c r="AM49" i="2"/>
  <c r="AM53" i="2"/>
  <c r="AN49" i="2"/>
  <c r="AN53" i="2"/>
  <c r="AO49" i="2"/>
  <c r="AO53" i="2"/>
  <c r="D50" i="2"/>
  <c r="E50" i="2"/>
  <c r="G50" i="2"/>
  <c r="I50" i="2"/>
  <c r="K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C50" i="2"/>
  <c r="C49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D23" i="2"/>
  <c r="E23" i="2"/>
  <c r="G23" i="2"/>
  <c r="I23" i="2"/>
  <c r="K23" i="2"/>
  <c r="M23" i="2"/>
  <c r="N23" i="2"/>
  <c r="O23" i="2"/>
  <c r="P23" i="2"/>
  <c r="Q23" i="2"/>
  <c r="R23" i="2"/>
  <c r="D24" i="2"/>
  <c r="E24" i="2"/>
  <c r="G24" i="2"/>
  <c r="I24" i="2"/>
  <c r="K24" i="2"/>
  <c r="M24" i="2"/>
  <c r="N24" i="2"/>
  <c r="O24" i="2"/>
  <c r="P24" i="2"/>
  <c r="Q24" i="2"/>
  <c r="R24" i="2"/>
  <c r="C24" i="2"/>
  <c r="C23" i="2"/>
  <c r="L213" i="2"/>
  <c r="H213" i="2"/>
  <c r="F190" i="2"/>
  <c r="H189" i="2"/>
  <c r="J190" i="2"/>
  <c r="F213" i="2"/>
  <c r="Z92" i="2"/>
  <c r="W98" i="2"/>
  <c r="AG98" i="2"/>
  <c r="P101" i="2"/>
  <c r="AG104" i="2"/>
  <c r="AI107" i="2"/>
  <c r="H190" i="2"/>
  <c r="J189" i="2"/>
  <c r="L190" i="2"/>
  <c r="F166" i="2"/>
  <c r="L189" i="2"/>
  <c r="X92" i="2"/>
  <c r="F189" i="2"/>
  <c r="AJ95" i="2"/>
  <c r="H166" i="2"/>
  <c r="H165" i="2"/>
  <c r="W95" i="2"/>
  <c r="J166" i="2"/>
  <c r="L166" i="2"/>
  <c r="F165" i="2"/>
  <c r="L165" i="2"/>
  <c r="AH101" i="2"/>
  <c r="J165" i="2"/>
  <c r="AJ107" i="2"/>
  <c r="F137" i="2"/>
  <c r="AH95" i="2"/>
  <c r="AI104" i="2"/>
  <c r="AN73" i="2"/>
  <c r="AI98" i="2"/>
  <c r="AM73" i="2"/>
  <c r="AC73" i="2"/>
  <c r="AH92" i="2"/>
  <c r="AA104" i="2"/>
  <c r="R95" i="2"/>
  <c r="AB104" i="2"/>
  <c r="AI101" i="2"/>
  <c r="AD74" i="2"/>
  <c r="Q95" i="2"/>
  <c r="Y98" i="2"/>
  <c r="X104" i="2"/>
  <c r="Y107" i="2"/>
  <c r="V74" i="2"/>
  <c r="Y104" i="2"/>
  <c r="AH107" i="2"/>
  <c r="H137" i="2"/>
  <c r="L137" i="2"/>
  <c r="J137" i="2"/>
  <c r="O92" i="2"/>
  <c r="Y95" i="2"/>
  <c r="O101" i="2"/>
  <c r="AC104" i="2"/>
  <c r="J136" i="2"/>
  <c r="Y92" i="2"/>
  <c r="AI95" i="2"/>
  <c r="O107" i="2"/>
  <c r="L136" i="2"/>
  <c r="L68" i="2"/>
  <c r="AJ101" i="2"/>
  <c r="P107" i="2"/>
  <c r="O98" i="2"/>
  <c r="O95" i="2"/>
  <c r="X98" i="2"/>
  <c r="X107" i="2"/>
  <c r="O73" i="2"/>
  <c r="T74" i="2"/>
  <c r="AG101" i="2"/>
  <c r="AG107" i="2"/>
  <c r="AE92" i="2"/>
  <c r="AG74" i="2"/>
  <c r="AF73" i="2"/>
  <c r="AG92" i="2"/>
  <c r="L89" i="2"/>
  <c r="AH74" i="2"/>
  <c r="F67" i="2"/>
  <c r="F73" i="2"/>
  <c r="L67" i="2"/>
  <c r="L73" i="2"/>
  <c r="AN98" i="2"/>
  <c r="AK101" i="2"/>
  <c r="AO107" i="2"/>
  <c r="H136" i="2"/>
  <c r="Y74" i="2"/>
  <c r="H68" i="2"/>
  <c r="AO92" i="2"/>
  <c r="W104" i="2"/>
  <c r="U107" i="2"/>
  <c r="F136" i="2"/>
  <c r="AI74" i="2"/>
  <c r="X74" i="2"/>
  <c r="U92" i="2"/>
  <c r="Q101" i="2"/>
  <c r="W107" i="2"/>
  <c r="W74" i="2"/>
  <c r="W92" i="2"/>
  <c r="P95" i="2"/>
  <c r="T98" i="2"/>
  <c r="R73" i="2"/>
  <c r="AB73" i="2"/>
  <c r="Q73" i="2"/>
  <c r="AL73" i="2"/>
  <c r="AK73" i="2"/>
  <c r="AA73" i="2"/>
  <c r="P73" i="2"/>
  <c r="AO74" i="2"/>
  <c r="AE74" i="2"/>
  <c r="U74" i="2"/>
  <c r="AJ73" i="2"/>
  <c r="Z73" i="2"/>
  <c r="X95" i="2"/>
  <c r="AK95" i="2"/>
  <c r="AD98" i="2"/>
  <c r="P104" i="2"/>
  <c r="AH104" i="2"/>
  <c r="J89" i="2"/>
  <c r="L88" i="2"/>
  <c r="L92" i="2"/>
  <c r="AC98" i="2"/>
  <c r="J67" i="2"/>
  <c r="J73" i="2"/>
  <c r="AL95" i="2"/>
  <c r="Q104" i="2"/>
  <c r="Z107" i="2"/>
  <c r="Z95" i="2"/>
  <c r="AM95" i="2"/>
  <c r="Z101" i="2"/>
  <c r="R104" i="2"/>
  <c r="AK104" i="2"/>
  <c r="AE107" i="2"/>
  <c r="H67" i="2"/>
  <c r="H73" i="2"/>
  <c r="P92" i="2"/>
  <c r="AJ92" i="2"/>
  <c r="AA95" i="2"/>
  <c r="AA101" i="2"/>
  <c r="AL104" i="2"/>
  <c r="F88" i="2"/>
  <c r="F92" i="2"/>
  <c r="H88" i="2"/>
  <c r="H92" i="2"/>
  <c r="J68" i="2"/>
  <c r="AB95" i="2"/>
  <c r="R98" i="2"/>
  <c r="AM98" i="2"/>
  <c r="AM104" i="2"/>
  <c r="AC95" i="2"/>
  <c r="J88" i="2"/>
  <c r="J92" i="2"/>
  <c r="H89" i="2"/>
  <c r="F89" i="2"/>
  <c r="U98" i="2"/>
  <c r="AF98" i="2"/>
  <c r="AD104" i="2"/>
  <c r="AE104" i="2"/>
  <c r="T95" i="2"/>
  <c r="AL101" i="2"/>
  <c r="AF104" i="2"/>
  <c r="U95" i="2"/>
  <c r="R101" i="2"/>
  <c r="AK107" i="2"/>
  <c r="T92" i="2"/>
  <c r="AD92" i="2"/>
  <c r="AN92" i="2"/>
  <c r="Q98" i="2"/>
  <c r="AB98" i="2"/>
  <c r="AL98" i="2"/>
  <c r="V101" i="2"/>
  <c r="AF101" i="2"/>
  <c r="Z104" i="2"/>
  <c r="AJ104" i="2"/>
  <c r="T107" i="2"/>
  <c r="AD107" i="2"/>
  <c r="AN107" i="2"/>
  <c r="V92" i="2"/>
  <c r="AF107" i="2"/>
  <c r="V98" i="2"/>
  <c r="AN104" i="2"/>
  <c r="U104" i="2"/>
  <c r="AO104" i="2"/>
  <c r="AD95" i="2"/>
  <c r="V104" i="2"/>
  <c r="AK92" i="2"/>
  <c r="AO95" i="2"/>
  <c r="AM101" i="2"/>
  <c r="Q92" i="2"/>
  <c r="AB92" i="2"/>
  <c r="AL92" i="2"/>
  <c r="V95" i="2"/>
  <c r="AF95" i="2"/>
  <c r="T101" i="2"/>
  <c r="AN101" i="2"/>
  <c r="AB107" i="2"/>
  <c r="AE98" i="2"/>
  <c r="AO98" i="2"/>
  <c r="AA92" i="2"/>
  <c r="AE95" i="2"/>
  <c r="AC101" i="2"/>
  <c r="AA107" i="2"/>
  <c r="R92" i="2"/>
  <c r="AC92" i="2"/>
  <c r="AM92" i="2"/>
  <c r="F68" i="2"/>
  <c r="L50" i="2"/>
  <c r="H50" i="2"/>
  <c r="L24" i="2"/>
  <c r="J23" i="2"/>
  <c r="L49" i="2"/>
  <c r="F23" i="2"/>
  <c r="J24" i="2"/>
  <c r="H24" i="2"/>
  <c r="L23" i="2"/>
  <c r="J49" i="2"/>
  <c r="F50" i="2"/>
  <c r="J50" i="2"/>
  <c r="H49" i="2"/>
  <c r="F49" i="2"/>
  <c r="F24" i="2"/>
  <c r="H23" i="2"/>
</calcChain>
</file>

<file path=xl/sharedStrings.xml><?xml version="1.0" encoding="utf-8"?>
<sst xmlns="http://schemas.openxmlformats.org/spreadsheetml/2006/main" count="246" uniqueCount="217">
  <si>
    <t>IntStdWv</t>
  </si>
  <si>
    <t>Sample</t>
  </si>
  <si>
    <t>Si29_CPS</t>
  </si>
  <si>
    <t>Si29_CPS_Int2SE</t>
  </si>
  <si>
    <t>Na_ppm_m23</t>
  </si>
  <si>
    <t>Na2O wt%</t>
  </si>
  <si>
    <t>Ca_ppm_m43</t>
  </si>
  <si>
    <t>Ca wt%</t>
  </si>
  <si>
    <t>Ca_ppm_m44</t>
  </si>
  <si>
    <t>Ti_ppm_m49</t>
  </si>
  <si>
    <t>Ti wt%</t>
  </si>
  <si>
    <t>Ga_ppm_m69</t>
  </si>
  <si>
    <t>Ga_ppm_m71</t>
  </si>
  <si>
    <t>Rb_ppm_m85</t>
  </si>
  <si>
    <t>Sr_ppm_m88</t>
  </si>
  <si>
    <t>Y_ppm_m89</t>
  </si>
  <si>
    <t>Zr_ppm_m90</t>
  </si>
  <si>
    <t>Zr_ppm_m91</t>
  </si>
  <si>
    <t>Nb_ppm_m93</t>
  </si>
  <si>
    <t>Cs_ppm_m133</t>
  </si>
  <si>
    <t>Ba_ppm_m137</t>
  </si>
  <si>
    <t>La_ppm_m139</t>
  </si>
  <si>
    <t>Ce_ppm_m140</t>
  </si>
  <si>
    <t>Pr_ppm_m141</t>
  </si>
  <si>
    <t>Nd_ppm_m146</t>
  </si>
  <si>
    <t>Sm_ppm_m147</t>
  </si>
  <si>
    <t>Eu_ppm_m153</t>
  </si>
  <si>
    <t>Gd_ppm_m157</t>
  </si>
  <si>
    <t>Tb_ppm_m159</t>
  </si>
  <si>
    <t>Dy_ppm_m163</t>
  </si>
  <si>
    <t>Ho_ppm_m165</t>
  </si>
  <si>
    <t>Er_ppm_m166</t>
  </si>
  <si>
    <t>Tm_ppm_m169</t>
  </si>
  <si>
    <t>Yb_ppm_m172</t>
  </si>
  <si>
    <t>Lu_ppm_m175</t>
  </si>
  <si>
    <t>Hf_ppm_m178</t>
  </si>
  <si>
    <t>Ta_ppm_m181</t>
  </si>
  <si>
    <t>Pb_ppm_m208</t>
  </si>
  <si>
    <t>Th_ppm_m232</t>
  </si>
  <si>
    <t>U_ppm_m238</t>
  </si>
  <si>
    <t>NIST612 - 1</t>
  </si>
  <si>
    <t>NIST612 - 2</t>
  </si>
  <si>
    <t>NIST612 - 3</t>
  </si>
  <si>
    <t>NIST612 - 4</t>
  </si>
  <si>
    <t>NIST612 - 5</t>
  </si>
  <si>
    <t>NIST612 - 6</t>
  </si>
  <si>
    <t>NIST612 - 7</t>
  </si>
  <si>
    <t>NIST612 - 8</t>
  </si>
  <si>
    <t>NIST612 - 9</t>
  </si>
  <si>
    <t>NIST612 - 10</t>
  </si>
  <si>
    <t>NIST612 - 11</t>
  </si>
  <si>
    <t>NIST612 - 12</t>
  </si>
  <si>
    <t>NIST612 - 13</t>
  </si>
  <si>
    <t>NIST612 - 14</t>
  </si>
  <si>
    <t>NIST612 - 15</t>
  </si>
  <si>
    <t>NIST612 - 16</t>
  </si>
  <si>
    <t>NIST612 - 17</t>
  </si>
  <si>
    <t>NIST612 - 18</t>
  </si>
  <si>
    <t>NIST612 - 19</t>
  </si>
  <si>
    <t>NIST612 - 20</t>
  </si>
  <si>
    <t>AVE</t>
  </si>
  <si>
    <t>STDEV</t>
  </si>
  <si>
    <t xml:space="preserve">Working </t>
  </si>
  <si>
    <t>(GEOREM)</t>
  </si>
  <si>
    <t>values</t>
  </si>
  <si>
    <t>NIST610 - 1</t>
  </si>
  <si>
    <t>NIST610 - 2</t>
  </si>
  <si>
    <t>NIST610 - 3</t>
  </si>
  <si>
    <t>NIST610 - 4</t>
  </si>
  <si>
    <t>NIST610 - 5</t>
  </si>
  <si>
    <t>NIST610 - 6</t>
  </si>
  <si>
    <t>NIST610 - 7</t>
  </si>
  <si>
    <t>NIST610 - 8</t>
  </si>
  <si>
    <t>NIST610 - 9</t>
  </si>
  <si>
    <t>NIST610 - 10</t>
  </si>
  <si>
    <t>NIST610 - 11</t>
  </si>
  <si>
    <t>NIST610 - 12</t>
  </si>
  <si>
    <t>NIST610 - 13</t>
  </si>
  <si>
    <t>NIST610 - 14</t>
  </si>
  <si>
    <t>NIST610 - 15</t>
  </si>
  <si>
    <t>NIST610 - 16</t>
  </si>
  <si>
    <t>NIST610 - 17</t>
  </si>
  <si>
    <t>NIST610 - 18</t>
  </si>
  <si>
    <t>NIST610 - 19</t>
  </si>
  <si>
    <t>NIST610 - 20</t>
  </si>
  <si>
    <t>GEOREM</t>
  </si>
  <si>
    <t>Percent deviation from GEOREM</t>
  </si>
  <si>
    <t>ATHO-G - 1</t>
  </si>
  <si>
    <t>ATHO-G - 2</t>
  </si>
  <si>
    <t>ATHO-G - 3</t>
  </si>
  <si>
    <t>ATHO-G - 4</t>
  </si>
  <si>
    <t>ATHO-G - 5</t>
  </si>
  <si>
    <t>ATHO-G - 6</t>
  </si>
  <si>
    <t>ATHO-G - 7</t>
  </si>
  <si>
    <t>ATHO-G - 8</t>
  </si>
  <si>
    <t>ATHO-G - 9</t>
  </si>
  <si>
    <t>ATHO-G - 10</t>
  </si>
  <si>
    <t>ATHO-G - 11</t>
  </si>
  <si>
    <t>ATHO-G - 12</t>
  </si>
  <si>
    <t>*GEOREM</t>
  </si>
  <si>
    <t>*new Na2O value from Steve</t>
  </si>
  <si>
    <t>Internally used values</t>
  </si>
  <si>
    <t xml:space="preserve">Values from Brent A. </t>
  </si>
  <si>
    <t>Percent deviation from Brent</t>
  </si>
  <si>
    <t>Walcott - 1</t>
  </si>
  <si>
    <t>Walcott - 2</t>
  </si>
  <si>
    <t>Walcott - 3</t>
  </si>
  <si>
    <t>Walcott - 4</t>
  </si>
  <si>
    <t>Walcott - 5</t>
  </si>
  <si>
    <t>Walcott - 6</t>
  </si>
  <si>
    <t>Walcott - 7</t>
  </si>
  <si>
    <t>Walcott - 8</t>
  </si>
  <si>
    <t>Walcott - 9</t>
  </si>
  <si>
    <t>Walcott - 10</t>
  </si>
  <si>
    <t>Walcott - 11</t>
  </si>
  <si>
    <t>Walcott - 12</t>
  </si>
  <si>
    <t>From Nick Pearce</t>
  </si>
  <si>
    <t>Si-calibrated and presumed corrected</t>
  </si>
  <si>
    <t>Percent deviation</t>
  </si>
  <si>
    <t xml:space="preserve">Walcott Tuff </t>
  </si>
  <si>
    <t>Brent A. values</t>
  </si>
  <si>
    <t>Walcott Tuff</t>
  </si>
  <si>
    <t>J.Westgate values</t>
  </si>
  <si>
    <t>Walcott Tuff (EAS)</t>
  </si>
  <si>
    <r>
      <t>23</t>
    </r>
    <r>
      <rPr>
        <b/>
        <sz val="11"/>
        <color theme="1"/>
        <rFont val="Symbol"/>
        <charset val="2"/>
      </rPr>
      <t xml:space="preserve">m, </t>
    </r>
    <r>
      <rPr>
        <b/>
        <sz val="11"/>
        <color theme="1"/>
        <rFont val="Arial"/>
        <family val="2"/>
      </rPr>
      <t>Run 1; 21-11-2017</t>
    </r>
  </si>
  <si>
    <r>
      <t>23</t>
    </r>
    <r>
      <rPr>
        <b/>
        <sz val="11"/>
        <color theme="1"/>
        <rFont val="Symbol"/>
        <charset val="2"/>
      </rPr>
      <t xml:space="preserve">m, </t>
    </r>
    <r>
      <rPr>
        <b/>
        <sz val="11"/>
        <color theme="1"/>
        <rFont val="Arial"/>
        <family val="2"/>
      </rPr>
      <t>Run 2; 21-11-2017</t>
    </r>
  </si>
  <si>
    <r>
      <t>23</t>
    </r>
    <r>
      <rPr>
        <b/>
        <sz val="11"/>
        <color theme="1"/>
        <rFont val="Symbol"/>
        <charset val="2"/>
      </rPr>
      <t xml:space="preserve">m, </t>
    </r>
    <r>
      <rPr>
        <b/>
        <sz val="11"/>
        <color theme="1"/>
        <rFont val="Arial"/>
        <family val="2"/>
      </rPr>
      <t>22-11-2017</t>
    </r>
  </si>
  <si>
    <t>UA1 - 1</t>
  </si>
  <si>
    <t>UA1 - 2</t>
  </si>
  <si>
    <t>UA1 - 3</t>
  </si>
  <si>
    <t>UA1 - 4</t>
  </si>
  <si>
    <t>UA1 - 5</t>
  </si>
  <si>
    <t>UA1 - 6</t>
  </si>
  <si>
    <t>UA1 - 7</t>
  </si>
  <si>
    <t>UA1 - 8</t>
  </si>
  <si>
    <t>UA1 - 9</t>
  </si>
  <si>
    <t>UA1 - 10</t>
  </si>
  <si>
    <t>UA1 - 11</t>
  </si>
  <si>
    <t>UA1 - 12</t>
  </si>
  <si>
    <t>UA1 - 13</t>
  </si>
  <si>
    <t>UA1 - 14</t>
  </si>
  <si>
    <t>UA1 - 15</t>
  </si>
  <si>
    <t>UA1 - 16</t>
  </si>
  <si>
    <t>UA1 - 17</t>
  </si>
  <si>
    <t>UA1 - 18</t>
  </si>
  <si>
    <t>UA1 - 19</t>
  </si>
  <si>
    <t>UA1 - 20</t>
  </si>
  <si>
    <t>UA1 - 21</t>
  </si>
  <si>
    <t>UA1 - 22</t>
  </si>
  <si>
    <t>UA1 - 23</t>
  </si>
  <si>
    <t>UA1 - 24</t>
  </si>
  <si>
    <t>UA1 - 25</t>
  </si>
  <si>
    <t>UA2 - 1</t>
  </si>
  <si>
    <t>UA2 - 2</t>
  </si>
  <si>
    <t>UA2 - 3</t>
  </si>
  <si>
    <t>UA2 - 4</t>
  </si>
  <si>
    <t>UA2 - 5</t>
  </si>
  <si>
    <t>UA2 - 6</t>
  </si>
  <si>
    <t>UA2 - 7</t>
  </si>
  <si>
    <t>UA2 - 8</t>
  </si>
  <si>
    <t>UA2 - 9</t>
  </si>
  <si>
    <t>UA2 - 10</t>
  </si>
  <si>
    <t>UA2 - 11</t>
  </si>
  <si>
    <t>UA2 - 12</t>
  </si>
  <si>
    <t>UA2 - 13</t>
  </si>
  <si>
    <t>UA2 - 14</t>
  </si>
  <si>
    <t>UA2 - 15</t>
  </si>
  <si>
    <t>UA2 - 16</t>
  </si>
  <si>
    <t>UA2 - 17</t>
  </si>
  <si>
    <t>UA2 - 18</t>
  </si>
  <si>
    <t>UA2 - 19</t>
  </si>
  <si>
    <t>UA2 - 20</t>
  </si>
  <si>
    <t>UA2 - 21</t>
  </si>
  <si>
    <t>UA2 - 22</t>
  </si>
  <si>
    <t>UA2 - 23</t>
  </si>
  <si>
    <t>UA2 - 24</t>
  </si>
  <si>
    <t>UA2 - 25</t>
  </si>
  <si>
    <t>UA3 - 1</t>
  </si>
  <si>
    <t>UA3 - 2</t>
  </si>
  <si>
    <t>UA3 - 3</t>
  </si>
  <si>
    <t>UA3 - 4</t>
  </si>
  <si>
    <t>UA3 - 5</t>
  </si>
  <si>
    <t>UA3 - 6</t>
  </si>
  <si>
    <t>UA3 - 7</t>
  </si>
  <si>
    <t>UA3 - 8</t>
  </si>
  <si>
    <t>UA3 - 9</t>
  </si>
  <si>
    <t>UA3 - 10</t>
  </si>
  <si>
    <t>UA3 - 11</t>
  </si>
  <si>
    <t>UA3 - 12</t>
  </si>
  <si>
    <t>UA3 - 13</t>
  </si>
  <si>
    <t>UA3 - 14</t>
  </si>
  <si>
    <t>UA3 - 15</t>
  </si>
  <si>
    <t>UA3 - 16</t>
  </si>
  <si>
    <t>UA3 - 17</t>
  </si>
  <si>
    <t>UA3 - 18</t>
  </si>
  <si>
    <t>UA3 - 19</t>
  </si>
  <si>
    <t>UA3 - 20</t>
  </si>
  <si>
    <t>UA3660 - 1</t>
  </si>
  <si>
    <t>UA3660 - 2</t>
  </si>
  <si>
    <t>UA3660 - 3</t>
  </si>
  <si>
    <t>UA3660 - 4</t>
  </si>
  <si>
    <t>UA3660 - 5</t>
  </si>
  <si>
    <t>UA3660 - 6</t>
  </si>
  <si>
    <t>UA3660 - 7</t>
  </si>
  <si>
    <t>UA3660 - 8</t>
  </si>
  <si>
    <t>UA3660 - 9</t>
  </si>
  <si>
    <t>UA3660 - 10</t>
  </si>
  <si>
    <t>UA3660 - 11</t>
  </si>
  <si>
    <t>UA3660 - 12</t>
  </si>
  <si>
    <t>UA3660 - 13</t>
  </si>
  <si>
    <t>UA3660 - 14</t>
  </si>
  <si>
    <t>UA3660 - 15</t>
  </si>
  <si>
    <t>UA3660 - 16</t>
  </si>
  <si>
    <t>UA3660 - 17</t>
  </si>
  <si>
    <t>UA3660 - 18</t>
  </si>
  <si>
    <t>UA3660 - 19</t>
  </si>
  <si>
    <t>UA3660 - 20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</si>
</sst>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rgb="FFC00000"/>
      <name val="Arial"/>
      <family val="2"/>
    </font>
    <font>
      <sz val="11"/>
      <color theme="1"/>
      <name val="Aptos Narrow"/>
      <family val="2"/>
      <scheme val="minor"/>
    </font>
    <font>
      <b/>
      <i/>
      <sz val="11"/>
      <color theme="1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Symbol"/>
      <charset val="2"/>
    </font>
    <font>
      <sz val="8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7">
    <xf numFmtId="0" fontId="0" fillId="0" borderId="0" xfId="0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0" fontId="19" fillId="0" borderId="0" xfId="0" applyFont="1"/>
    <xf numFmtId="0" fontId="20" fillId="33" borderId="0" xfId="0" applyFont="1" applyFill="1"/>
    <xf numFmtId="0" fontId="20" fillId="33" borderId="0" xfId="0" applyFont="1" applyFill="1" applyAlignment="1">
      <alignment horizontal="center"/>
    </xf>
    <xf numFmtId="2" fontId="19" fillId="33" borderId="0" xfId="0" applyNumberFormat="1" applyFont="1" applyFill="1" applyAlignment="1">
      <alignment horizontal="center"/>
    </xf>
    <xf numFmtId="164" fontId="19" fillId="33" borderId="0" xfId="0" applyNumberFormat="1" applyFont="1" applyFill="1" applyAlignment="1">
      <alignment horizontal="center"/>
    </xf>
    <xf numFmtId="0" fontId="19" fillId="33" borderId="0" xfId="0" applyFont="1" applyFill="1" applyAlignment="1">
      <alignment horizontal="center"/>
    </xf>
    <xf numFmtId="0" fontId="20" fillId="0" borderId="0" xfId="0" applyFont="1" applyAlignment="1">
      <alignment horizontal="left"/>
    </xf>
    <xf numFmtId="0" fontId="20" fillId="35" borderId="0" xfId="0" applyFont="1" applyFill="1"/>
    <xf numFmtId="164" fontId="0" fillId="0" borderId="0" xfId="0" applyNumberFormat="1" applyAlignment="1">
      <alignment horizontal="center"/>
    </xf>
    <xf numFmtId="164" fontId="20" fillId="34" borderId="0" xfId="0" applyNumberFormat="1" applyFont="1" applyFill="1"/>
    <xf numFmtId="164" fontId="0" fillId="34" borderId="0" xfId="0" applyNumberFormat="1" applyFill="1" applyAlignment="1">
      <alignment horizontal="center"/>
    </xf>
    <xf numFmtId="2" fontId="0" fillId="34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1" fontId="20" fillId="33" borderId="0" xfId="0" applyNumberFormat="1" applyFont="1" applyFill="1"/>
    <xf numFmtId="2" fontId="19" fillId="33" borderId="0" xfId="0" applyNumberFormat="1" applyFont="1" applyFill="1"/>
    <xf numFmtId="0" fontId="19" fillId="0" borderId="0" xfId="0" applyFont="1" applyAlignment="1">
      <alignment horizontal="center"/>
    </xf>
    <xf numFmtId="11" fontId="19" fillId="33" borderId="0" xfId="0" applyNumberFormat="1" applyFont="1" applyFill="1"/>
    <xf numFmtId="0" fontId="20" fillId="0" borderId="0" xfId="0" applyFont="1"/>
    <xf numFmtId="11" fontId="20" fillId="0" borderId="0" xfId="0" applyNumberFormat="1" applyFont="1"/>
    <xf numFmtId="2" fontId="20" fillId="0" borderId="0" xfId="0" applyNumberFormat="1" applyFont="1"/>
    <xf numFmtId="2" fontId="19" fillId="0" borderId="0" xfId="0" applyNumberFormat="1" applyFont="1" applyAlignment="1">
      <alignment horizontal="center"/>
    </xf>
    <xf numFmtId="1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left"/>
    </xf>
    <xf numFmtId="0" fontId="21" fillId="33" borderId="0" xfId="0" applyFont="1" applyFill="1" applyAlignment="1">
      <alignment horizontal="center"/>
    </xf>
    <xf numFmtId="0" fontId="20" fillId="36" borderId="0" xfId="0" applyFont="1" applyFill="1"/>
    <xf numFmtId="11" fontId="20" fillId="36" borderId="0" xfId="0" applyNumberFormat="1" applyFont="1" applyFill="1"/>
    <xf numFmtId="2" fontId="20" fillId="36" borderId="0" xfId="0" applyNumberFormat="1" applyFont="1" applyFill="1"/>
    <xf numFmtId="2" fontId="20" fillId="36" borderId="0" xfId="0" applyNumberFormat="1" applyFont="1" applyFill="1" applyAlignment="1">
      <alignment horizontal="center"/>
    </xf>
    <xf numFmtId="0" fontId="20" fillId="36" borderId="0" xfId="0" applyFont="1" applyFill="1" applyAlignment="1">
      <alignment horizontal="center"/>
    </xf>
    <xf numFmtId="164" fontId="20" fillId="36" borderId="0" xfId="0" applyNumberFormat="1" applyFont="1" applyFill="1" applyAlignment="1">
      <alignment horizontal="center"/>
    </xf>
    <xf numFmtId="11" fontId="19" fillId="0" borderId="0" xfId="0" applyNumberFormat="1" applyFont="1"/>
    <xf numFmtId="164" fontId="19" fillId="0" borderId="0" xfId="0" applyNumberFormat="1" applyFont="1" applyAlignment="1">
      <alignment horizontal="center"/>
    </xf>
    <xf numFmtId="0" fontId="0" fillId="34" borderId="0" xfId="0" applyFill="1" applyAlignment="1">
      <alignment horizontal="center"/>
    </xf>
    <xf numFmtId="164" fontId="20" fillId="33" borderId="0" xfId="0" applyNumberFormat="1" applyFont="1" applyFill="1" applyAlignment="1">
      <alignment horizontal="center"/>
    </xf>
    <xf numFmtId="0" fontId="22" fillId="0" borderId="0" xfId="0" applyFont="1"/>
    <xf numFmtId="11" fontId="19" fillId="36" borderId="0" xfId="0" applyNumberFormat="1" applyFont="1" applyFill="1"/>
    <xf numFmtId="2" fontId="19" fillId="36" borderId="0" xfId="0" applyNumberFormat="1" applyFont="1" applyFill="1"/>
    <xf numFmtId="2" fontId="19" fillId="36" borderId="0" xfId="0" applyNumberFormat="1" applyFont="1" applyFill="1" applyAlignment="1">
      <alignment horizontal="center"/>
    </xf>
    <xf numFmtId="164" fontId="19" fillId="36" borderId="0" xfId="0" applyNumberFormat="1" applyFont="1" applyFill="1" applyAlignment="1">
      <alignment horizontal="center"/>
    </xf>
    <xf numFmtId="0" fontId="23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25" fillId="36" borderId="0" xfId="0" applyFont="1" applyFill="1"/>
    <xf numFmtId="0" fontId="24" fillId="0" borderId="0" xfId="0" applyFon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BC8DF-CDC2-3541-93D2-213D4C8500F6}">
  <dimension ref="A1:AZ217"/>
  <sheetViews>
    <sheetView tabSelected="1" workbookViewId="0">
      <pane ySplit="1" topLeftCell="A2" activePane="bottomLeft" state="frozen"/>
      <selection pane="bottomLeft" activeCell="D7" sqref="D7"/>
      <selection activeCell="I1" sqref="I1"/>
    </sheetView>
  </sheetViews>
  <sheetFormatPr defaultColWidth="12.875" defaultRowHeight="15.95"/>
  <cols>
    <col min="1" max="1" width="12.875" style="2"/>
    <col min="2" max="2" width="12.875" style="1"/>
    <col min="3" max="16384" width="12.875" style="2"/>
  </cols>
  <sheetData>
    <row r="1" spans="1:41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0" t="s">
        <v>5</v>
      </c>
      <c r="G1" s="10" t="s">
        <v>6</v>
      </c>
      <c r="H1" s="11" t="s">
        <v>7</v>
      </c>
      <c r="I1" s="10" t="s">
        <v>8</v>
      </c>
      <c r="J1" s="11" t="s">
        <v>7</v>
      </c>
      <c r="K1" s="10" t="s">
        <v>9</v>
      </c>
      <c r="L1" s="1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</row>
    <row r="3" spans="1:41">
      <c r="A3" s="2">
        <v>33.700000000000003</v>
      </c>
      <c r="B3" s="1" t="s">
        <v>40</v>
      </c>
      <c r="C3" s="3">
        <v>3860000</v>
      </c>
      <c r="D3" s="2">
        <v>210000</v>
      </c>
      <c r="E3" s="2">
        <v>98500</v>
      </c>
      <c r="F3" s="2">
        <f>(E3/0.7419)/10000</f>
        <v>13.276721930179271</v>
      </c>
      <c r="G3" s="2">
        <v>83800</v>
      </c>
      <c r="H3" s="2">
        <f>(G3/0.5603)/10000</f>
        <v>14.956273424950917</v>
      </c>
      <c r="I3" s="2">
        <v>84100</v>
      </c>
      <c r="J3" s="2">
        <f>(G3/0.5603)/10000</f>
        <v>14.956273424950917</v>
      </c>
      <c r="K3" s="2">
        <v>39.299999999999997</v>
      </c>
      <c r="L3" s="16">
        <f>(K3/0.5995)/10000</f>
        <v>6.5554628857381145E-3</v>
      </c>
      <c r="M3" s="2">
        <v>36.6</v>
      </c>
      <c r="N3" s="2">
        <v>36.9</v>
      </c>
      <c r="O3" s="2">
        <v>31.11</v>
      </c>
      <c r="P3" s="2">
        <v>78.8</v>
      </c>
      <c r="Q3" s="2">
        <v>37.799999999999997</v>
      </c>
      <c r="R3" s="2">
        <v>37.299999999999997</v>
      </c>
      <c r="S3" s="2">
        <v>36.799999999999997</v>
      </c>
      <c r="T3" s="2">
        <v>38.85</v>
      </c>
      <c r="U3" s="2">
        <v>43.4</v>
      </c>
      <c r="V3" s="2">
        <v>38.4</v>
      </c>
      <c r="W3" s="2">
        <v>36.4</v>
      </c>
      <c r="X3" s="2">
        <v>39.200000000000003</v>
      </c>
      <c r="Y3" s="2">
        <v>38.1</v>
      </c>
      <c r="Z3" s="2">
        <v>35.9</v>
      </c>
      <c r="AA3" s="2">
        <v>36.200000000000003</v>
      </c>
      <c r="AB3" s="2">
        <v>36.200000000000003</v>
      </c>
      <c r="AC3" s="2">
        <v>37.700000000000003</v>
      </c>
      <c r="AD3" s="2">
        <v>37.700000000000003</v>
      </c>
      <c r="AE3" s="2">
        <v>35.5</v>
      </c>
      <c r="AF3" s="2">
        <v>38.799999999999997</v>
      </c>
      <c r="AG3" s="2">
        <v>38.799999999999997</v>
      </c>
      <c r="AH3" s="2">
        <v>37.1</v>
      </c>
      <c r="AI3" s="2">
        <v>40.799999999999997</v>
      </c>
      <c r="AJ3" s="2">
        <v>37.1</v>
      </c>
      <c r="AK3" s="2">
        <v>36.6</v>
      </c>
      <c r="AL3" s="2">
        <v>38.200000000000003</v>
      </c>
      <c r="AM3" s="2">
        <v>40</v>
      </c>
      <c r="AN3" s="2">
        <v>38.5</v>
      </c>
      <c r="AO3" s="2">
        <v>39</v>
      </c>
    </row>
    <row r="4" spans="1:41">
      <c r="A4" s="2">
        <v>33.700000000000003</v>
      </c>
      <c r="B4" s="1" t="s">
        <v>41</v>
      </c>
      <c r="C4" s="3">
        <v>3770000</v>
      </c>
      <c r="D4" s="2">
        <v>230000</v>
      </c>
      <c r="E4" s="2">
        <v>104700</v>
      </c>
      <c r="F4" s="2">
        <f t="shared" ref="F4:F22" si="0">(E4/0.7419)/10000</f>
        <v>14.112414071977357</v>
      </c>
      <c r="G4" s="2">
        <v>85500</v>
      </c>
      <c r="H4" s="2">
        <f t="shared" ref="H4:H22" si="1">(G4/0.5603)/10000</f>
        <v>15.25968231304658</v>
      </c>
      <c r="I4" s="2">
        <v>85300</v>
      </c>
      <c r="J4" s="2">
        <f t="shared" ref="J4:J22" si="2">(G4/0.5603)/10000</f>
        <v>15.25968231304658</v>
      </c>
      <c r="K4" s="2">
        <v>48.8</v>
      </c>
      <c r="L4" s="16">
        <f t="shared" ref="L4:L22" si="3">(K4/0.5995)/10000</f>
        <v>8.1401167639699734E-3</v>
      </c>
      <c r="M4" s="2">
        <v>35.6</v>
      </c>
      <c r="N4" s="2">
        <v>36.799999999999997</v>
      </c>
      <c r="O4" s="2">
        <v>31.05</v>
      </c>
      <c r="P4" s="2">
        <v>77.900000000000006</v>
      </c>
      <c r="Q4" s="2">
        <v>37.89</v>
      </c>
      <c r="R4" s="2">
        <v>38</v>
      </c>
      <c r="S4" s="2">
        <v>38.5</v>
      </c>
      <c r="T4" s="2">
        <v>38.700000000000003</v>
      </c>
      <c r="U4" s="2">
        <v>41.4</v>
      </c>
      <c r="V4" s="2">
        <v>37.799999999999997</v>
      </c>
      <c r="W4" s="2">
        <v>35.200000000000003</v>
      </c>
      <c r="X4" s="2">
        <v>37</v>
      </c>
      <c r="Y4" s="2">
        <v>35.299999999999997</v>
      </c>
      <c r="Z4" s="2">
        <v>34.200000000000003</v>
      </c>
      <c r="AA4" s="2">
        <v>36.1</v>
      </c>
      <c r="AB4" s="2">
        <v>34.200000000000003</v>
      </c>
      <c r="AC4" s="2">
        <v>36.1</v>
      </c>
      <c r="AD4" s="2">
        <v>35.6</v>
      </c>
      <c r="AE4" s="2">
        <v>34.299999999999997</v>
      </c>
      <c r="AF4" s="2">
        <v>36.5</v>
      </c>
      <c r="AG4" s="2">
        <v>35.4</v>
      </c>
      <c r="AH4" s="2">
        <v>36.700000000000003</v>
      </c>
      <c r="AI4" s="2">
        <v>37.5</v>
      </c>
      <c r="AJ4" s="2">
        <v>35.700000000000003</v>
      </c>
      <c r="AK4" s="2">
        <v>34.799999999999997</v>
      </c>
      <c r="AL4" s="2">
        <v>36.299999999999997</v>
      </c>
      <c r="AM4" s="2">
        <v>36.9</v>
      </c>
      <c r="AN4" s="2">
        <v>36.200000000000003</v>
      </c>
      <c r="AO4" s="2">
        <v>36</v>
      </c>
    </row>
    <row r="5" spans="1:41">
      <c r="A5" s="2">
        <v>33.700000000000003</v>
      </c>
      <c r="B5" s="1" t="s">
        <v>42</v>
      </c>
      <c r="C5" s="3">
        <v>3920000</v>
      </c>
      <c r="D5" s="2">
        <v>200000</v>
      </c>
      <c r="E5" s="2">
        <v>102600</v>
      </c>
      <c r="F5" s="2">
        <f t="shared" si="0"/>
        <v>13.829357056207035</v>
      </c>
      <c r="G5" s="2">
        <v>85900</v>
      </c>
      <c r="H5" s="2">
        <f t="shared" si="1"/>
        <v>15.331072639657327</v>
      </c>
      <c r="I5" s="2">
        <v>85600</v>
      </c>
      <c r="J5" s="2">
        <f t="shared" si="2"/>
        <v>15.331072639657327</v>
      </c>
      <c r="K5" s="2">
        <v>43.6</v>
      </c>
      <c r="L5" s="16">
        <f t="shared" si="3"/>
        <v>7.2727272727272719E-3</v>
      </c>
      <c r="M5" s="2">
        <v>37.700000000000003</v>
      </c>
      <c r="N5" s="2">
        <v>36.86</v>
      </c>
      <c r="O5" s="2">
        <v>31.56</v>
      </c>
      <c r="P5" s="2">
        <v>79.5</v>
      </c>
      <c r="Q5" s="2">
        <v>39.700000000000003</v>
      </c>
      <c r="R5" s="2">
        <v>37.700000000000003</v>
      </c>
      <c r="S5" s="2">
        <v>36.6</v>
      </c>
      <c r="T5" s="2">
        <v>39.200000000000003</v>
      </c>
      <c r="U5" s="2">
        <v>42.91</v>
      </c>
      <c r="V5" s="2">
        <v>39.1</v>
      </c>
      <c r="W5" s="2">
        <v>36</v>
      </c>
      <c r="X5" s="2">
        <v>38.6</v>
      </c>
      <c r="Y5" s="2">
        <v>38.200000000000003</v>
      </c>
      <c r="Z5" s="2">
        <v>35.700000000000003</v>
      </c>
      <c r="AA5" s="2">
        <v>37.9</v>
      </c>
      <c r="AB5" s="2">
        <v>35.700000000000003</v>
      </c>
      <c r="AC5" s="2">
        <v>37.799999999999997</v>
      </c>
      <c r="AD5" s="2">
        <v>38.5</v>
      </c>
      <c r="AE5" s="2">
        <v>36.200000000000003</v>
      </c>
      <c r="AF5" s="2">
        <v>38.299999999999997</v>
      </c>
      <c r="AG5" s="2">
        <v>38.200000000000003</v>
      </c>
      <c r="AH5" s="2">
        <v>36.700000000000003</v>
      </c>
      <c r="AI5" s="2">
        <v>39</v>
      </c>
      <c r="AJ5" s="2">
        <v>37.4</v>
      </c>
      <c r="AK5" s="2">
        <v>36.9</v>
      </c>
      <c r="AL5" s="2">
        <v>37.799999999999997</v>
      </c>
      <c r="AM5" s="2">
        <v>39.4</v>
      </c>
      <c r="AN5" s="2">
        <v>38</v>
      </c>
      <c r="AO5" s="2">
        <v>38.299999999999997</v>
      </c>
    </row>
    <row r="6" spans="1:41">
      <c r="A6" s="2">
        <v>33.700000000000003</v>
      </c>
      <c r="B6" s="1" t="s">
        <v>43</v>
      </c>
      <c r="C6" s="3">
        <v>4200000</v>
      </c>
      <c r="D6" s="2">
        <v>250000</v>
      </c>
      <c r="E6" s="2">
        <v>100200</v>
      </c>
      <c r="F6" s="2">
        <f t="shared" si="0"/>
        <v>13.505863323898099</v>
      </c>
      <c r="G6" s="2">
        <v>83000</v>
      </c>
      <c r="H6" s="2">
        <f t="shared" si="1"/>
        <v>14.813492771729431</v>
      </c>
      <c r="I6" s="2">
        <v>82800</v>
      </c>
      <c r="J6" s="2">
        <f t="shared" si="2"/>
        <v>14.813492771729431</v>
      </c>
      <c r="K6" s="2">
        <v>39.799999999999997</v>
      </c>
      <c r="L6" s="16">
        <f t="shared" si="3"/>
        <v>6.6388657214345274E-3</v>
      </c>
      <c r="M6" s="2">
        <v>37.1</v>
      </c>
      <c r="N6" s="2">
        <v>35.700000000000003</v>
      </c>
      <c r="O6" s="2">
        <v>30.88</v>
      </c>
      <c r="P6" s="2">
        <v>77.8</v>
      </c>
      <c r="Q6" s="2">
        <v>38.9</v>
      </c>
      <c r="R6" s="2">
        <v>37.799999999999997</v>
      </c>
      <c r="S6" s="2">
        <v>37.700000000000003</v>
      </c>
      <c r="T6" s="2">
        <v>38</v>
      </c>
      <c r="U6" s="2">
        <v>42.1</v>
      </c>
      <c r="V6" s="2">
        <v>38.299999999999997</v>
      </c>
      <c r="W6" s="2">
        <v>35.4</v>
      </c>
      <c r="X6" s="2">
        <v>37.799999999999997</v>
      </c>
      <c r="Y6" s="2">
        <v>37</v>
      </c>
      <c r="Z6" s="2">
        <v>35.299999999999997</v>
      </c>
      <c r="AA6" s="2">
        <v>35.9</v>
      </c>
      <c r="AB6" s="2">
        <v>35.9</v>
      </c>
      <c r="AC6" s="2">
        <v>37</v>
      </c>
      <c r="AD6" s="2">
        <v>38</v>
      </c>
      <c r="AE6" s="2">
        <v>35.799999999999997</v>
      </c>
      <c r="AF6" s="2">
        <v>39.5</v>
      </c>
      <c r="AG6" s="2">
        <v>38.1</v>
      </c>
      <c r="AH6" s="2">
        <v>36.6</v>
      </c>
      <c r="AI6" s="2">
        <v>39.200000000000003</v>
      </c>
      <c r="AJ6" s="2">
        <v>37.4</v>
      </c>
      <c r="AK6" s="2">
        <v>37.299999999999997</v>
      </c>
      <c r="AL6" s="2">
        <v>37.700000000000003</v>
      </c>
      <c r="AM6" s="2">
        <v>39.4</v>
      </c>
      <c r="AN6" s="2">
        <v>38.200000000000003</v>
      </c>
      <c r="AO6" s="2">
        <v>37.799999999999997</v>
      </c>
    </row>
    <row r="7" spans="1:41">
      <c r="A7" s="2">
        <v>33.700000000000003</v>
      </c>
      <c r="B7" s="1" t="s">
        <v>44</v>
      </c>
      <c r="C7" s="3">
        <v>4050000</v>
      </c>
      <c r="D7" s="2">
        <v>230000</v>
      </c>
      <c r="E7" s="2">
        <v>103100</v>
      </c>
      <c r="F7" s="2">
        <f t="shared" si="0"/>
        <v>13.896751583771399</v>
      </c>
      <c r="G7" s="2">
        <v>85900</v>
      </c>
      <c r="H7" s="2">
        <f t="shared" si="1"/>
        <v>15.331072639657327</v>
      </c>
      <c r="I7" s="2">
        <v>87100</v>
      </c>
      <c r="J7" s="2">
        <f t="shared" si="2"/>
        <v>15.331072639657327</v>
      </c>
      <c r="K7" s="2">
        <v>49.8</v>
      </c>
      <c r="L7" s="16">
        <f t="shared" si="3"/>
        <v>8.3069224353628009E-3</v>
      </c>
      <c r="M7" s="2">
        <v>37.799999999999997</v>
      </c>
      <c r="N7" s="2">
        <v>38</v>
      </c>
      <c r="O7" s="2">
        <v>32.700000000000003</v>
      </c>
      <c r="P7" s="2">
        <v>80.099999999999994</v>
      </c>
      <c r="Q7" s="2">
        <v>39.200000000000003</v>
      </c>
      <c r="R7" s="2">
        <v>38.700000000000003</v>
      </c>
      <c r="S7" s="2">
        <v>40.1</v>
      </c>
      <c r="T7" s="2">
        <v>39.549999999999997</v>
      </c>
      <c r="U7" s="2">
        <v>43</v>
      </c>
      <c r="V7" s="2">
        <v>42.4</v>
      </c>
      <c r="W7" s="2">
        <v>37.200000000000003</v>
      </c>
      <c r="X7" s="2">
        <v>38.9</v>
      </c>
      <c r="Y7" s="2">
        <v>39.299999999999997</v>
      </c>
      <c r="Z7" s="2">
        <v>36.700000000000003</v>
      </c>
      <c r="AA7" s="2">
        <v>39.299999999999997</v>
      </c>
      <c r="AB7" s="2">
        <v>36.299999999999997</v>
      </c>
      <c r="AC7" s="2">
        <v>38.200000000000003</v>
      </c>
      <c r="AD7" s="2">
        <v>37.700000000000003</v>
      </c>
      <c r="AE7" s="2">
        <v>34.9</v>
      </c>
      <c r="AF7" s="2">
        <v>38.200000000000003</v>
      </c>
      <c r="AG7" s="2">
        <v>39.1</v>
      </c>
      <c r="AH7" s="2">
        <v>37</v>
      </c>
      <c r="AI7" s="2">
        <v>39.5</v>
      </c>
      <c r="AJ7" s="2">
        <v>37.9</v>
      </c>
      <c r="AK7" s="2">
        <v>38.1</v>
      </c>
      <c r="AL7" s="2">
        <v>38.4</v>
      </c>
      <c r="AM7" s="2">
        <v>38.9</v>
      </c>
      <c r="AN7" s="2">
        <v>38.299999999999997</v>
      </c>
      <c r="AO7" s="2">
        <v>37.1</v>
      </c>
    </row>
    <row r="8" spans="1:41">
      <c r="A8" s="2">
        <v>33.700000000000003</v>
      </c>
      <c r="B8" s="1" t="s">
        <v>45</v>
      </c>
      <c r="C8" s="3">
        <v>4040000</v>
      </c>
      <c r="D8" s="2">
        <v>210000</v>
      </c>
      <c r="E8" s="2">
        <v>102300</v>
      </c>
      <c r="F8" s="2">
        <f t="shared" si="0"/>
        <v>13.788920339668421</v>
      </c>
      <c r="G8" s="2">
        <v>85500</v>
      </c>
      <c r="H8" s="2">
        <f t="shared" si="1"/>
        <v>15.25968231304658</v>
      </c>
      <c r="I8" s="2">
        <v>85200</v>
      </c>
      <c r="J8" s="2">
        <f t="shared" si="2"/>
        <v>15.25968231304658</v>
      </c>
      <c r="K8" s="2">
        <v>49.4</v>
      </c>
      <c r="L8" s="16">
        <f t="shared" si="3"/>
        <v>8.2402001668056713E-3</v>
      </c>
      <c r="M8" s="2">
        <v>37.51</v>
      </c>
      <c r="N8" s="2">
        <v>38.299999999999997</v>
      </c>
      <c r="O8" s="2">
        <v>32.6</v>
      </c>
      <c r="P8" s="2">
        <v>79.8</v>
      </c>
      <c r="Q8" s="2">
        <v>39.200000000000003</v>
      </c>
      <c r="R8" s="2">
        <v>39</v>
      </c>
      <c r="S8" s="2">
        <v>38.6</v>
      </c>
      <c r="T8" s="2">
        <v>39.4</v>
      </c>
      <c r="U8" s="2">
        <v>43.2</v>
      </c>
      <c r="V8" s="2">
        <v>40.799999999999997</v>
      </c>
      <c r="W8" s="2">
        <v>36.090000000000003</v>
      </c>
      <c r="X8" s="2">
        <v>39</v>
      </c>
      <c r="Y8" s="2">
        <v>38.700000000000003</v>
      </c>
      <c r="Z8" s="2">
        <v>36.299999999999997</v>
      </c>
      <c r="AA8" s="2">
        <v>38.6</v>
      </c>
      <c r="AB8" s="2">
        <v>35.700000000000003</v>
      </c>
      <c r="AC8" s="2">
        <v>37.700000000000003</v>
      </c>
      <c r="AD8" s="2">
        <v>37.299999999999997</v>
      </c>
      <c r="AE8" s="2">
        <v>34.799999999999997</v>
      </c>
      <c r="AF8" s="2">
        <v>37.6</v>
      </c>
      <c r="AG8" s="2">
        <v>38.299999999999997</v>
      </c>
      <c r="AH8" s="2">
        <v>36.5</v>
      </c>
      <c r="AI8" s="2">
        <v>39.1</v>
      </c>
      <c r="AJ8" s="2">
        <v>36.5</v>
      </c>
      <c r="AK8" s="2">
        <v>37.1</v>
      </c>
      <c r="AL8" s="2">
        <v>37.6</v>
      </c>
      <c r="AM8" s="2">
        <v>38</v>
      </c>
      <c r="AN8" s="2">
        <v>37.4</v>
      </c>
      <c r="AO8" s="2">
        <v>36.299999999999997</v>
      </c>
    </row>
    <row r="9" spans="1:41">
      <c r="A9" s="2">
        <v>33.700000000000003</v>
      </c>
      <c r="B9" s="1" t="s">
        <v>46</v>
      </c>
      <c r="C9" s="3">
        <v>4320000</v>
      </c>
      <c r="D9" s="2">
        <v>180000</v>
      </c>
      <c r="E9" s="2">
        <v>98800</v>
      </c>
      <c r="F9" s="2">
        <f t="shared" si="0"/>
        <v>13.317158646717886</v>
      </c>
      <c r="G9" s="2">
        <v>84300</v>
      </c>
      <c r="H9" s="2">
        <f t="shared" si="1"/>
        <v>15.04551133321435</v>
      </c>
      <c r="I9" s="2">
        <v>83700</v>
      </c>
      <c r="J9" s="2">
        <f t="shared" si="2"/>
        <v>15.04551133321435</v>
      </c>
      <c r="K9" s="2">
        <v>36</v>
      </c>
      <c r="L9" s="16">
        <f t="shared" si="3"/>
        <v>6.0050041701417848E-3</v>
      </c>
      <c r="M9" s="2">
        <v>36.5</v>
      </c>
      <c r="N9" s="2">
        <v>35.700000000000003</v>
      </c>
      <c r="O9" s="2">
        <v>31.6</v>
      </c>
      <c r="P9" s="2">
        <v>76</v>
      </c>
      <c r="Q9" s="2">
        <v>36.6</v>
      </c>
      <c r="R9" s="2">
        <v>36.9</v>
      </c>
      <c r="S9" s="2">
        <v>36.200000000000003</v>
      </c>
      <c r="T9" s="2">
        <v>38.200000000000003</v>
      </c>
      <c r="U9" s="2">
        <v>42</v>
      </c>
      <c r="V9" s="2">
        <v>39.9</v>
      </c>
      <c r="W9" s="2">
        <v>36.4</v>
      </c>
      <c r="X9" s="2">
        <v>37.9</v>
      </c>
      <c r="Y9" s="2">
        <v>38.299999999999997</v>
      </c>
      <c r="Z9" s="2">
        <v>35.4</v>
      </c>
      <c r="AA9" s="2">
        <v>39.200000000000003</v>
      </c>
      <c r="AB9" s="2">
        <v>35.200000000000003</v>
      </c>
      <c r="AC9" s="2">
        <v>36.9</v>
      </c>
      <c r="AD9" s="2">
        <v>37.5</v>
      </c>
      <c r="AE9" s="2">
        <v>36.200000000000003</v>
      </c>
      <c r="AF9" s="2">
        <v>38.799999999999997</v>
      </c>
      <c r="AG9" s="2">
        <v>38.4</v>
      </c>
      <c r="AH9" s="2">
        <v>37.5</v>
      </c>
      <c r="AI9" s="2">
        <v>39</v>
      </c>
      <c r="AJ9" s="2">
        <v>37.9</v>
      </c>
      <c r="AK9" s="2">
        <v>37.5</v>
      </c>
      <c r="AL9" s="2">
        <v>37.5</v>
      </c>
      <c r="AM9" s="2">
        <v>39.799999999999997</v>
      </c>
      <c r="AN9" s="2">
        <v>38.1</v>
      </c>
      <c r="AO9" s="2">
        <v>38</v>
      </c>
    </row>
    <row r="10" spans="1:41">
      <c r="A10" s="2">
        <v>33.700000000000003</v>
      </c>
      <c r="B10" s="1" t="s">
        <v>47</v>
      </c>
      <c r="C10" s="3">
        <v>4210000</v>
      </c>
      <c r="D10" s="2">
        <v>210000</v>
      </c>
      <c r="E10" s="2">
        <v>101600</v>
      </c>
      <c r="F10" s="2">
        <f t="shared" si="0"/>
        <v>13.694568001078313</v>
      </c>
      <c r="G10" s="2">
        <v>84400</v>
      </c>
      <c r="H10" s="2">
        <f t="shared" si="1"/>
        <v>15.063358914867035</v>
      </c>
      <c r="I10" s="2">
        <v>83500</v>
      </c>
      <c r="J10" s="2">
        <f t="shared" si="2"/>
        <v>15.063358914867035</v>
      </c>
      <c r="K10" s="2">
        <v>39.299999999999997</v>
      </c>
      <c r="L10" s="16">
        <f t="shared" si="3"/>
        <v>6.5554628857381145E-3</v>
      </c>
      <c r="M10" s="2">
        <v>35.5</v>
      </c>
      <c r="N10" s="2">
        <v>36.6</v>
      </c>
      <c r="O10" s="2">
        <v>31.22</v>
      </c>
      <c r="P10" s="2">
        <v>77.900000000000006</v>
      </c>
      <c r="Q10" s="2">
        <v>38.1</v>
      </c>
      <c r="R10" s="2">
        <v>37.9</v>
      </c>
      <c r="S10" s="2">
        <v>39</v>
      </c>
      <c r="T10" s="2">
        <v>39</v>
      </c>
      <c r="U10" s="2">
        <v>42.6</v>
      </c>
      <c r="V10" s="2">
        <v>39.5</v>
      </c>
      <c r="W10" s="2">
        <v>35.9</v>
      </c>
      <c r="X10" s="2">
        <v>38</v>
      </c>
      <c r="Y10" s="2">
        <v>38.299999999999997</v>
      </c>
      <c r="Z10" s="2">
        <v>37.200000000000003</v>
      </c>
      <c r="AA10" s="2">
        <v>38.1</v>
      </c>
      <c r="AB10" s="2">
        <v>35.4</v>
      </c>
      <c r="AC10" s="2">
        <v>37.200000000000003</v>
      </c>
      <c r="AD10" s="2">
        <v>37.5</v>
      </c>
      <c r="AE10" s="2">
        <v>36</v>
      </c>
      <c r="AF10" s="2">
        <v>38.4</v>
      </c>
      <c r="AG10" s="2">
        <v>38.200000000000003</v>
      </c>
      <c r="AH10" s="2">
        <v>36.799999999999997</v>
      </c>
      <c r="AI10" s="2">
        <v>39.9</v>
      </c>
      <c r="AJ10" s="2">
        <v>36.799999999999997</v>
      </c>
      <c r="AK10" s="2">
        <v>36.6</v>
      </c>
      <c r="AL10" s="2">
        <v>37</v>
      </c>
      <c r="AM10" s="2">
        <v>38.1</v>
      </c>
      <c r="AN10" s="2">
        <v>38.5</v>
      </c>
      <c r="AO10" s="2">
        <v>37.799999999999997</v>
      </c>
    </row>
    <row r="11" spans="1:41">
      <c r="A11" s="2">
        <v>33.700000000000003</v>
      </c>
      <c r="B11" s="1" t="s">
        <v>48</v>
      </c>
      <c r="C11" s="3">
        <v>4280000</v>
      </c>
      <c r="D11" s="2">
        <v>240000</v>
      </c>
      <c r="E11" s="2">
        <v>101600</v>
      </c>
      <c r="F11" s="2">
        <f t="shared" si="0"/>
        <v>13.694568001078313</v>
      </c>
      <c r="G11" s="2">
        <v>85100</v>
      </c>
      <c r="H11" s="2">
        <f t="shared" si="1"/>
        <v>15.188291986435837</v>
      </c>
      <c r="I11" s="2">
        <v>85300</v>
      </c>
      <c r="J11" s="2">
        <f t="shared" si="2"/>
        <v>15.188291986435837</v>
      </c>
      <c r="K11" s="2">
        <v>42.2</v>
      </c>
      <c r="L11" s="16">
        <f t="shared" si="3"/>
        <v>7.0391993327773147E-3</v>
      </c>
      <c r="M11" s="2">
        <v>37</v>
      </c>
      <c r="N11" s="2">
        <v>36.6</v>
      </c>
      <c r="O11" s="2">
        <v>31.57</v>
      </c>
      <c r="P11" s="2">
        <v>79.5</v>
      </c>
      <c r="Q11" s="2">
        <v>38.1</v>
      </c>
      <c r="R11" s="2">
        <v>37.6</v>
      </c>
      <c r="S11" s="2">
        <v>38.1</v>
      </c>
      <c r="T11" s="2">
        <v>38.9</v>
      </c>
      <c r="U11" s="2">
        <v>42.1</v>
      </c>
      <c r="V11" s="2">
        <v>38.1</v>
      </c>
      <c r="W11" s="2">
        <v>35.6</v>
      </c>
      <c r="X11" s="2">
        <v>37.9</v>
      </c>
      <c r="Y11" s="2">
        <v>37.76</v>
      </c>
      <c r="Z11" s="2">
        <v>33.9</v>
      </c>
      <c r="AA11" s="2">
        <v>37.9</v>
      </c>
      <c r="AB11" s="2">
        <v>35.1</v>
      </c>
      <c r="AC11" s="2">
        <v>38.1</v>
      </c>
      <c r="AD11" s="2">
        <v>37.299999999999997</v>
      </c>
      <c r="AE11" s="2">
        <v>36.200000000000003</v>
      </c>
      <c r="AF11" s="2">
        <v>37.9</v>
      </c>
      <c r="AG11" s="2">
        <v>36.299999999999997</v>
      </c>
      <c r="AH11" s="2">
        <v>36.700000000000003</v>
      </c>
      <c r="AI11" s="2">
        <v>37.700000000000003</v>
      </c>
      <c r="AJ11" s="2">
        <v>36.6</v>
      </c>
      <c r="AK11" s="2">
        <v>35.200000000000003</v>
      </c>
      <c r="AL11" s="2">
        <v>37.299999999999997</v>
      </c>
      <c r="AM11" s="2">
        <v>38.4</v>
      </c>
      <c r="AN11" s="2">
        <v>37.9</v>
      </c>
      <c r="AO11" s="2">
        <v>37.299999999999997</v>
      </c>
    </row>
    <row r="12" spans="1:41">
      <c r="A12" s="2">
        <v>33.700000000000003</v>
      </c>
      <c r="B12" s="1" t="s">
        <v>49</v>
      </c>
      <c r="C12" s="3">
        <v>4180000</v>
      </c>
      <c r="D12" s="2">
        <v>220000</v>
      </c>
      <c r="E12" s="2">
        <v>102000</v>
      </c>
      <c r="F12" s="2">
        <f t="shared" si="0"/>
        <v>13.748483623129802</v>
      </c>
      <c r="G12" s="2">
        <v>85100</v>
      </c>
      <c r="H12" s="2">
        <f t="shared" si="1"/>
        <v>15.188291986435837</v>
      </c>
      <c r="I12" s="2">
        <v>85100</v>
      </c>
      <c r="J12" s="2">
        <f t="shared" si="2"/>
        <v>15.188291986435837</v>
      </c>
      <c r="K12" s="2">
        <v>47.1</v>
      </c>
      <c r="L12" s="16">
        <f t="shared" si="3"/>
        <v>7.8565471226021682E-3</v>
      </c>
      <c r="M12" s="2">
        <v>37.229999999999997</v>
      </c>
      <c r="N12" s="2">
        <v>36.5</v>
      </c>
      <c r="O12" s="2">
        <v>32</v>
      </c>
      <c r="P12" s="2">
        <v>78.7</v>
      </c>
      <c r="Q12" s="2">
        <v>38</v>
      </c>
      <c r="R12" s="2">
        <v>37.6</v>
      </c>
      <c r="S12" s="2">
        <v>37.299999999999997</v>
      </c>
      <c r="T12" s="2">
        <v>39.1</v>
      </c>
      <c r="U12" s="2">
        <v>42.6</v>
      </c>
      <c r="V12" s="2">
        <v>39.1</v>
      </c>
      <c r="W12" s="2">
        <v>36.200000000000003</v>
      </c>
      <c r="X12" s="2">
        <v>39.299999999999997</v>
      </c>
      <c r="Y12" s="2">
        <v>39.6</v>
      </c>
      <c r="Z12" s="2">
        <v>36.6</v>
      </c>
      <c r="AA12" s="2">
        <v>41.4</v>
      </c>
      <c r="AB12" s="2">
        <v>36.799999999999997</v>
      </c>
      <c r="AC12" s="2">
        <v>36.799999999999997</v>
      </c>
      <c r="AD12" s="2">
        <v>38.799999999999997</v>
      </c>
      <c r="AE12" s="2">
        <v>35.200000000000003</v>
      </c>
      <c r="AF12" s="2">
        <v>38.6</v>
      </c>
      <c r="AG12" s="2">
        <v>39.200000000000003</v>
      </c>
      <c r="AH12" s="2">
        <v>37.200000000000003</v>
      </c>
      <c r="AI12" s="2">
        <v>39.4</v>
      </c>
      <c r="AJ12" s="2">
        <v>38.299999999999997</v>
      </c>
      <c r="AK12" s="2">
        <v>38.5</v>
      </c>
      <c r="AL12" s="2">
        <v>38.4</v>
      </c>
      <c r="AM12" s="2">
        <v>39.799999999999997</v>
      </c>
      <c r="AN12" s="2">
        <v>38.9</v>
      </c>
      <c r="AO12" s="2">
        <v>38.5</v>
      </c>
    </row>
    <row r="13" spans="1:41">
      <c r="A13" s="2">
        <v>33.700000000000003</v>
      </c>
      <c r="B13" s="1" t="s">
        <v>50</v>
      </c>
      <c r="C13" s="3">
        <v>4250000</v>
      </c>
      <c r="D13" s="2">
        <v>220000</v>
      </c>
      <c r="E13" s="2">
        <v>101500</v>
      </c>
      <c r="F13" s="2">
        <f t="shared" si="0"/>
        <v>13.68108909556544</v>
      </c>
      <c r="G13" s="2">
        <v>85600</v>
      </c>
      <c r="H13" s="2">
        <f t="shared" si="1"/>
        <v>15.277529894699267</v>
      </c>
      <c r="I13" s="2">
        <v>87500</v>
      </c>
      <c r="J13" s="2">
        <f t="shared" si="2"/>
        <v>15.277529894699267</v>
      </c>
      <c r="K13" s="2">
        <v>44</v>
      </c>
      <c r="L13" s="16">
        <f t="shared" si="3"/>
        <v>7.3394495412844041E-3</v>
      </c>
      <c r="M13" s="2">
        <v>37.700000000000003</v>
      </c>
      <c r="N13" s="2">
        <v>37.200000000000003</v>
      </c>
      <c r="O13" s="2">
        <v>31.13</v>
      </c>
      <c r="P13" s="2">
        <v>78.099999999999994</v>
      </c>
      <c r="Q13" s="2">
        <v>38.799999999999997</v>
      </c>
      <c r="R13" s="2">
        <v>37.9</v>
      </c>
      <c r="S13" s="2">
        <v>37.4</v>
      </c>
      <c r="T13" s="2">
        <v>38.799999999999997</v>
      </c>
      <c r="U13" s="2">
        <v>43.4</v>
      </c>
      <c r="V13" s="2">
        <v>39.200000000000003</v>
      </c>
      <c r="W13" s="2">
        <v>36.1</v>
      </c>
      <c r="X13" s="2">
        <v>37.9</v>
      </c>
      <c r="Y13" s="2">
        <v>37.700000000000003</v>
      </c>
      <c r="Z13" s="2">
        <v>34.200000000000003</v>
      </c>
      <c r="AA13" s="2">
        <v>37.5</v>
      </c>
      <c r="AB13" s="2">
        <v>35.5</v>
      </c>
      <c r="AC13" s="2">
        <v>36.9</v>
      </c>
      <c r="AD13" s="2">
        <v>37.299999999999997</v>
      </c>
      <c r="AE13" s="2">
        <v>34.299999999999997</v>
      </c>
      <c r="AF13" s="2">
        <v>38.1</v>
      </c>
      <c r="AG13" s="2">
        <v>38.200000000000003</v>
      </c>
      <c r="AH13" s="2">
        <v>36.700000000000003</v>
      </c>
      <c r="AI13" s="2">
        <v>39.6</v>
      </c>
      <c r="AJ13" s="2">
        <v>37</v>
      </c>
      <c r="AK13" s="2">
        <v>36.700000000000003</v>
      </c>
      <c r="AL13" s="2">
        <v>37.700000000000003</v>
      </c>
      <c r="AM13" s="2">
        <v>38.200000000000003</v>
      </c>
      <c r="AN13" s="2">
        <v>37.4</v>
      </c>
      <c r="AO13" s="2">
        <v>36.1</v>
      </c>
    </row>
    <row r="14" spans="1:41">
      <c r="A14" s="2">
        <v>33.700000000000003</v>
      </c>
      <c r="B14" s="1" t="s">
        <v>51</v>
      </c>
      <c r="C14" s="3">
        <v>4150000</v>
      </c>
      <c r="D14" s="2">
        <v>260000</v>
      </c>
      <c r="E14" s="2">
        <v>101700</v>
      </c>
      <c r="F14" s="2">
        <f t="shared" si="0"/>
        <v>13.708046906591184</v>
      </c>
      <c r="G14" s="2">
        <v>83900</v>
      </c>
      <c r="H14" s="2">
        <f t="shared" si="1"/>
        <v>14.974121006603607</v>
      </c>
      <c r="I14" s="2">
        <v>83300</v>
      </c>
      <c r="J14" s="2">
        <f t="shared" si="2"/>
        <v>14.974121006603607</v>
      </c>
      <c r="K14" s="2">
        <v>45.6</v>
      </c>
      <c r="L14" s="16">
        <f t="shared" si="3"/>
        <v>7.6063386155129278E-3</v>
      </c>
      <c r="M14" s="2">
        <v>36.590000000000003</v>
      </c>
      <c r="N14" s="2">
        <v>36.299999999999997</v>
      </c>
      <c r="O14" s="2">
        <v>30.9</v>
      </c>
      <c r="P14" s="2">
        <v>77.400000000000006</v>
      </c>
      <c r="Q14" s="2">
        <v>37.299999999999997</v>
      </c>
      <c r="R14" s="2">
        <v>37</v>
      </c>
      <c r="S14" s="2">
        <v>36.200000000000003</v>
      </c>
      <c r="T14" s="2">
        <v>38.799999999999997</v>
      </c>
      <c r="U14" s="2">
        <v>42.6</v>
      </c>
      <c r="V14" s="2">
        <v>37.299999999999997</v>
      </c>
      <c r="W14" s="2">
        <v>35.5</v>
      </c>
      <c r="X14" s="2">
        <v>38.1</v>
      </c>
      <c r="Y14" s="2">
        <v>37.200000000000003</v>
      </c>
      <c r="Z14" s="2">
        <v>35.5</v>
      </c>
      <c r="AA14" s="2">
        <v>37.5</v>
      </c>
      <c r="AB14" s="2">
        <v>34.9</v>
      </c>
      <c r="AC14" s="2">
        <v>37.700000000000003</v>
      </c>
      <c r="AD14" s="2">
        <v>37.200000000000003</v>
      </c>
      <c r="AE14" s="2">
        <v>35.5</v>
      </c>
      <c r="AF14" s="2">
        <v>37.799999999999997</v>
      </c>
      <c r="AG14" s="2">
        <v>38.1</v>
      </c>
      <c r="AH14" s="2">
        <v>36.299999999999997</v>
      </c>
      <c r="AI14" s="2">
        <v>38.6</v>
      </c>
      <c r="AJ14" s="2">
        <v>36.700000000000003</v>
      </c>
      <c r="AK14" s="2">
        <v>37.200000000000003</v>
      </c>
      <c r="AL14" s="2">
        <v>37.200000000000003</v>
      </c>
      <c r="AM14" s="2">
        <v>38.4</v>
      </c>
      <c r="AN14" s="2">
        <v>37.4</v>
      </c>
      <c r="AO14" s="2">
        <v>37.4</v>
      </c>
    </row>
    <row r="15" spans="1:41">
      <c r="A15" s="2">
        <v>33.700000000000003</v>
      </c>
      <c r="B15" s="1" t="s">
        <v>52</v>
      </c>
      <c r="C15" s="3">
        <v>4390000</v>
      </c>
      <c r="D15" s="2">
        <v>280000</v>
      </c>
      <c r="E15" s="2">
        <v>101500</v>
      </c>
      <c r="F15" s="2">
        <f t="shared" si="0"/>
        <v>13.68108909556544</v>
      </c>
      <c r="G15" s="2">
        <v>85700</v>
      </c>
      <c r="H15" s="2">
        <f t="shared" si="1"/>
        <v>15.295377476351952</v>
      </c>
      <c r="I15" s="2">
        <v>85200</v>
      </c>
      <c r="J15" s="2">
        <f t="shared" si="2"/>
        <v>15.295377476351952</v>
      </c>
      <c r="K15" s="2">
        <v>51.1</v>
      </c>
      <c r="L15" s="16">
        <f t="shared" si="3"/>
        <v>8.5237698081734783E-3</v>
      </c>
      <c r="M15" s="2">
        <v>37.700000000000003</v>
      </c>
      <c r="N15" s="2">
        <v>36.200000000000003</v>
      </c>
      <c r="O15" s="2">
        <v>31.78</v>
      </c>
      <c r="P15" s="2">
        <v>79.3</v>
      </c>
      <c r="Q15" s="2">
        <v>39.4</v>
      </c>
      <c r="R15" s="2">
        <v>38.200000000000003</v>
      </c>
      <c r="S15" s="2">
        <v>37.6</v>
      </c>
      <c r="T15" s="2">
        <v>39</v>
      </c>
      <c r="U15" s="2">
        <v>42.5</v>
      </c>
      <c r="V15" s="2">
        <v>39.799999999999997</v>
      </c>
      <c r="W15" s="2">
        <v>36.5</v>
      </c>
      <c r="X15" s="2">
        <v>38.700000000000003</v>
      </c>
      <c r="Y15" s="2">
        <v>38.200000000000003</v>
      </c>
      <c r="Z15" s="2">
        <v>36.200000000000003</v>
      </c>
      <c r="AA15" s="2">
        <v>39.700000000000003</v>
      </c>
      <c r="AB15" s="2">
        <v>36.200000000000003</v>
      </c>
      <c r="AC15" s="2">
        <v>37.799999999999997</v>
      </c>
      <c r="AD15" s="2">
        <v>38.299999999999997</v>
      </c>
      <c r="AE15" s="2">
        <v>36.799999999999997</v>
      </c>
      <c r="AF15" s="2">
        <v>39</v>
      </c>
      <c r="AG15" s="2">
        <v>38.299999999999997</v>
      </c>
      <c r="AH15" s="2">
        <v>37.200000000000003</v>
      </c>
      <c r="AI15" s="2">
        <v>39.700000000000003</v>
      </c>
      <c r="AJ15" s="2">
        <v>36.700000000000003</v>
      </c>
      <c r="AK15" s="2">
        <v>36.799999999999997</v>
      </c>
      <c r="AL15" s="2">
        <v>37.9</v>
      </c>
      <c r="AM15" s="2">
        <v>39.4</v>
      </c>
      <c r="AN15" s="2">
        <v>38.4</v>
      </c>
      <c r="AO15" s="2">
        <v>37.700000000000003</v>
      </c>
    </row>
    <row r="16" spans="1:41">
      <c r="A16" s="2">
        <v>33.700000000000003</v>
      </c>
      <c r="B16" s="1" t="s">
        <v>53</v>
      </c>
      <c r="C16" s="3">
        <v>4470000</v>
      </c>
      <c r="D16" s="2">
        <v>190000</v>
      </c>
      <c r="E16" s="2">
        <v>101100</v>
      </c>
      <c r="F16" s="2">
        <f t="shared" si="0"/>
        <v>13.627173473513951</v>
      </c>
      <c r="G16" s="2">
        <v>86100</v>
      </c>
      <c r="H16" s="2">
        <f t="shared" si="1"/>
        <v>15.366767802962698</v>
      </c>
      <c r="I16" s="2">
        <v>86100</v>
      </c>
      <c r="J16" s="2">
        <f t="shared" si="2"/>
        <v>15.366767802962698</v>
      </c>
      <c r="K16" s="2">
        <v>42.2</v>
      </c>
      <c r="L16" s="16">
        <f t="shared" si="3"/>
        <v>7.0391993327773147E-3</v>
      </c>
      <c r="M16" s="2">
        <v>36.53</v>
      </c>
      <c r="N16" s="2">
        <v>38</v>
      </c>
      <c r="O16" s="2">
        <v>30.6</v>
      </c>
      <c r="P16" s="2">
        <v>78.900000000000006</v>
      </c>
      <c r="Q16" s="2">
        <v>38.1</v>
      </c>
      <c r="R16" s="2">
        <v>38.1</v>
      </c>
      <c r="S16" s="2">
        <v>37.9</v>
      </c>
      <c r="T16" s="2">
        <v>38.799999999999997</v>
      </c>
      <c r="U16" s="2">
        <v>43</v>
      </c>
      <c r="V16" s="2">
        <v>39.200000000000003</v>
      </c>
      <c r="W16" s="2">
        <v>35.4</v>
      </c>
      <c r="X16" s="2">
        <v>38</v>
      </c>
      <c r="Y16" s="2">
        <v>38.200000000000003</v>
      </c>
      <c r="Z16" s="2">
        <v>35.700000000000003</v>
      </c>
      <c r="AA16" s="2">
        <v>36.1</v>
      </c>
      <c r="AB16" s="2">
        <v>35</v>
      </c>
      <c r="AC16" s="2">
        <v>35.6</v>
      </c>
      <c r="AD16" s="2">
        <v>37</v>
      </c>
      <c r="AE16" s="2">
        <v>35.299999999999997</v>
      </c>
      <c r="AF16" s="2">
        <v>38</v>
      </c>
      <c r="AG16" s="2">
        <v>38.4</v>
      </c>
      <c r="AH16" s="2">
        <v>36.6</v>
      </c>
      <c r="AI16" s="2">
        <v>39.700000000000003</v>
      </c>
      <c r="AJ16" s="2">
        <v>37.1</v>
      </c>
      <c r="AK16" s="2">
        <v>36.200000000000003</v>
      </c>
      <c r="AL16" s="2">
        <v>36.799999999999997</v>
      </c>
      <c r="AM16" s="2">
        <v>37.9</v>
      </c>
      <c r="AN16" s="2">
        <v>36.700000000000003</v>
      </c>
      <c r="AO16" s="2">
        <v>36.6</v>
      </c>
    </row>
    <row r="17" spans="1:41">
      <c r="A17" s="2">
        <v>33.700000000000003</v>
      </c>
      <c r="B17" s="1" t="s">
        <v>54</v>
      </c>
      <c r="C17" s="3">
        <v>4340000</v>
      </c>
      <c r="D17" s="2">
        <v>260000</v>
      </c>
      <c r="E17" s="2">
        <v>102100</v>
      </c>
      <c r="F17" s="2">
        <f t="shared" si="0"/>
        <v>13.761962528642675</v>
      </c>
      <c r="G17" s="2">
        <v>84700</v>
      </c>
      <c r="H17" s="2">
        <f t="shared" si="1"/>
        <v>15.116901659825093</v>
      </c>
      <c r="I17" s="2">
        <v>85900</v>
      </c>
      <c r="J17" s="2">
        <f t="shared" si="2"/>
        <v>15.116901659825093</v>
      </c>
      <c r="K17" s="2">
        <v>47.5</v>
      </c>
      <c r="L17" s="16">
        <f t="shared" si="3"/>
        <v>7.9232693911592995E-3</v>
      </c>
      <c r="M17" s="2">
        <v>37</v>
      </c>
      <c r="N17" s="2">
        <v>36.6</v>
      </c>
      <c r="O17" s="2">
        <v>31.36</v>
      </c>
      <c r="P17" s="2">
        <v>77.900000000000006</v>
      </c>
      <c r="Q17" s="2">
        <v>37.5</v>
      </c>
      <c r="R17" s="2">
        <v>38.1</v>
      </c>
      <c r="S17" s="2">
        <v>38.299999999999997</v>
      </c>
      <c r="T17" s="2">
        <v>39</v>
      </c>
      <c r="U17" s="2">
        <v>42.6</v>
      </c>
      <c r="V17" s="2">
        <v>39.299999999999997</v>
      </c>
      <c r="W17" s="2">
        <v>36.700000000000003</v>
      </c>
      <c r="X17" s="2">
        <v>38</v>
      </c>
      <c r="Y17" s="2">
        <v>38.700000000000003</v>
      </c>
      <c r="Z17" s="2">
        <v>35.299999999999997</v>
      </c>
      <c r="AA17" s="2">
        <v>37.5</v>
      </c>
      <c r="AB17" s="2">
        <v>36.200000000000003</v>
      </c>
      <c r="AC17" s="2">
        <v>37.4</v>
      </c>
      <c r="AD17" s="2">
        <v>37.9</v>
      </c>
      <c r="AE17" s="2">
        <v>35.299999999999997</v>
      </c>
      <c r="AF17" s="2">
        <v>38.700000000000003</v>
      </c>
      <c r="AG17" s="2">
        <v>38.5</v>
      </c>
      <c r="AH17" s="2">
        <v>36.9</v>
      </c>
      <c r="AI17" s="2">
        <v>39.1</v>
      </c>
      <c r="AJ17" s="2">
        <v>37.6</v>
      </c>
      <c r="AK17" s="2">
        <v>37.1</v>
      </c>
      <c r="AL17" s="2">
        <v>38.299999999999997</v>
      </c>
      <c r="AM17" s="2">
        <v>38.299999999999997</v>
      </c>
      <c r="AN17" s="2">
        <v>38.299999999999997</v>
      </c>
      <c r="AO17" s="2">
        <v>37.700000000000003</v>
      </c>
    </row>
    <row r="18" spans="1:41">
      <c r="A18" s="2">
        <v>33.700000000000003</v>
      </c>
      <c r="B18" s="1" t="s">
        <v>55</v>
      </c>
      <c r="C18" s="3">
        <v>4330000</v>
      </c>
      <c r="D18" s="2">
        <v>210000</v>
      </c>
      <c r="E18" s="2">
        <v>100000</v>
      </c>
      <c r="F18" s="2">
        <f t="shared" si="0"/>
        <v>13.478905512872355</v>
      </c>
      <c r="G18" s="2">
        <v>85400</v>
      </c>
      <c r="H18" s="2">
        <f t="shared" si="1"/>
        <v>15.241834731393896</v>
      </c>
      <c r="I18" s="2">
        <v>85900</v>
      </c>
      <c r="J18" s="2">
        <f t="shared" si="2"/>
        <v>15.241834731393896</v>
      </c>
      <c r="K18" s="2">
        <v>41.5</v>
      </c>
      <c r="L18" s="16">
        <f t="shared" si="3"/>
        <v>6.9224353628023353E-3</v>
      </c>
      <c r="M18" s="2">
        <v>37.200000000000003</v>
      </c>
      <c r="N18" s="2">
        <v>37</v>
      </c>
      <c r="O18" s="2">
        <v>31.6</v>
      </c>
      <c r="P18" s="2">
        <v>78.7</v>
      </c>
      <c r="Q18" s="2">
        <v>39.299999999999997</v>
      </c>
      <c r="R18" s="2">
        <v>38.200000000000003</v>
      </c>
      <c r="S18" s="2">
        <v>39.5</v>
      </c>
      <c r="T18" s="2">
        <v>39.049999999999997</v>
      </c>
      <c r="U18" s="2">
        <v>42.6</v>
      </c>
      <c r="V18" s="2">
        <v>41.8</v>
      </c>
      <c r="W18" s="2">
        <v>36.4</v>
      </c>
      <c r="X18" s="2">
        <v>39</v>
      </c>
      <c r="Y18" s="2">
        <v>38</v>
      </c>
      <c r="Z18" s="2">
        <v>35.5</v>
      </c>
      <c r="AA18" s="2">
        <v>39.200000000000003</v>
      </c>
      <c r="AB18" s="2">
        <v>36</v>
      </c>
      <c r="AC18" s="2">
        <v>38.200000000000003</v>
      </c>
      <c r="AD18" s="2">
        <v>37.700000000000003</v>
      </c>
      <c r="AE18" s="2">
        <v>35.299999999999997</v>
      </c>
      <c r="AF18" s="2">
        <v>38</v>
      </c>
      <c r="AG18" s="2">
        <v>37.4</v>
      </c>
      <c r="AH18" s="2">
        <v>36.700000000000003</v>
      </c>
      <c r="AI18" s="2">
        <v>39.4</v>
      </c>
      <c r="AJ18" s="2">
        <v>36.9</v>
      </c>
      <c r="AK18" s="2">
        <v>36.4</v>
      </c>
      <c r="AL18" s="2">
        <v>37.4</v>
      </c>
      <c r="AM18" s="2">
        <v>39</v>
      </c>
      <c r="AN18" s="2">
        <v>37.799999999999997</v>
      </c>
      <c r="AO18" s="2">
        <v>37.200000000000003</v>
      </c>
    </row>
    <row r="19" spans="1:41">
      <c r="A19" s="2">
        <v>33.700000000000003</v>
      </c>
      <c r="B19" s="1" t="s">
        <v>56</v>
      </c>
      <c r="C19" s="3">
        <v>4380000</v>
      </c>
      <c r="D19" s="2">
        <v>210000</v>
      </c>
      <c r="E19" s="2">
        <v>102200</v>
      </c>
      <c r="F19" s="2">
        <f t="shared" si="0"/>
        <v>13.775441434155548</v>
      </c>
      <c r="G19" s="2">
        <v>84600</v>
      </c>
      <c r="H19" s="2">
        <f t="shared" si="1"/>
        <v>15.099054078172406</v>
      </c>
      <c r="I19" s="2">
        <v>85200</v>
      </c>
      <c r="J19" s="2">
        <f t="shared" si="2"/>
        <v>15.099054078172406</v>
      </c>
      <c r="K19" s="2">
        <v>44.3</v>
      </c>
      <c r="L19" s="16">
        <f t="shared" si="3"/>
        <v>7.3894912427022504E-3</v>
      </c>
      <c r="M19" s="2">
        <v>37.5</v>
      </c>
      <c r="N19" s="2">
        <v>37.6</v>
      </c>
      <c r="O19" s="2">
        <v>32.4</v>
      </c>
      <c r="P19" s="2">
        <v>79.2</v>
      </c>
      <c r="Q19" s="2">
        <v>38.6</v>
      </c>
      <c r="R19" s="2">
        <v>38</v>
      </c>
      <c r="S19" s="2">
        <v>36.799999999999997</v>
      </c>
      <c r="T19" s="2">
        <v>38.5</v>
      </c>
      <c r="U19" s="2">
        <v>42.9</v>
      </c>
      <c r="V19" s="2">
        <v>39.200000000000003</v>
      </c>
      <c r="W19" s="2">
        <v>36.799999999999997</v>
      </c>
      <c r="X19" s="2">
        <v>38.5</v>
      </c>
      <c r="Y19" s="2">
        <v>38.700000000000003</v>
      </c>
      <c r="Z19" s="2">
        <v>35.799999999999997</v>
      </c>
      <c r="AA19" s="2">
        <v>38.5</v>
      </c>
      <c r="AB19" s="2">
        <v>35.700000000000003</v>
      </c>
      <c r="AC19" s="2">
        <v>37.700000000000003</v>
      </c>
      <c r="AD19" s="2">
        <v>37.6</v>
      </c>
      <c r="AE19" s="2">
        <v>36.4</v>
      </c>
      <c r="AF19" s="2">
        <v>38.5</v>
      </c>
      <c r="AG19" s="2">
        <v>37.799999999999997</v>
      </c>
      <c r="AH19" s="2">
        <v>36.9</v>
      </c>
      <c r="AI19" s="2">
        <v>38.700000000000003</v>
      </c>
      <c r="AJ19" s="2">
        <v>37.1</v>
      </c>
      <c r="AK19" s="2">
        <v>37.200000000000003</v>
      </c>
      <c r="AL19" s="2">
        <v>38.299999999999997</v>
      </c>
      <c r="AM19" s="2">
        <v>38.6</v>
      </c>
      <c r="AN19" s="2">
        <v>38</v>
      </c>
      <c r="AO19" s="2">
        <v>37.5</v>
      </c>
    </row>
    <row r="20" spans="1:41">
      <c r="A20" s="2">
        <v>33.700000000000003</v>
      </c>
      <c r="B20" s="1" t="s">
        <v>57</v>
      </c>
      <c r="C20" s="3">
        <v>4380000</v>
      </c>
      <c r="D20" s="2">
        <v>190000</v>
      </c>
      <c r="E20" s="2">
        <v>102200</v>
      </c>
      <c r="F20" s="2">
        <f t="shared" si="0"/>
        <v>13.775441434155548</v>
      </c>
      <c r="G20" s="2">
        <v>86900</v>
      </c>
      <c r="H20" s="2">
        <f t="shared" si="1"/>
        <v>15.509548456184188</v>
      </c>
      <c r="I20" s="2">
        <v>86600</v>
      </c>
      <c r="J20" s="2">
        <f t="shared" si="2"/>
        <v>15.509548456184188</v>
      </c>
      <c r="K20" s="2">
        <v>41.5</v>
      </c>
      <c r="L20" s="16">
        <f t="shared" si="3"/>
        <v>6.9224353628023353E-3</v>
      </c>
      <c r="M20" s="2">
        <v>36.4</v>
      </c>
      <c r="N20" s="2">
        <v>36.200000000000003</v>
      </c>
      <c r="O20" s="2">
        <v>31.2</v>
      </c>
      <c r="P20" s="2">
        <v>77.5</v>
      </c>
      <c r="Q20" s="2">
        <v>37.700000000000003</v>
      </c>
      <c r="R20" s="2">
        <v>37.799999999999997</v>
      </c>
      <c r="S20" s="2">
        <v>38.9</v>
      </c>
      <c r="T20" s="2">
        <v>39.299999999999997</v>
      </c>
      <c r="U20" s="2">
        <v>43.7</v>
      </c>
      <c r="V20" s="2">
        <v>40.9</v>
      </c>
      <c r="W20" s="2">
        <v>36.200000000000003</v>
      </c>
      <c r="X20" s="2">
        <v>39.700000000000003</v>
      </c>
      <c r="Y20" s="2">
        <v>38</v>
      </c>
      <c r="Z20" s="2">
        <v>35.299999999999997</v>
      </c>
      <c r="AA20" s="2">
        <v>36.5</v>
      </c>
      <c r="AB20" s="2">
        <v>36</v>
      </c>
      <c r="AC20" s="2">
        <v>37.299999999999997</v>
      </c>
      <c r="AD20" s="2">
        <v>38</v>
      </c>
      <c r="AE20" s="2">
        <v>36.1</v>
      </c>
      <c r="AF20" s="2">
        <v>38</v>
      </c>
      <c r="AG20" s="2">
        <v>39</v>
      </c>
      <c r="AH20" s="2">
        <v>37.200000000000003</v>
      </c>
      <c r="AI20" s="2">
        <v>40.1</v>
      </c>
      <c r="AJ20" s="2">
        <v>38.299999999999997</v>
      </c>
      <c r="AK20" s="2">
        <v>38</v>
      </c>
      <c r="AL20" s="2">
        <v>39</v>
      </c>
      <c r="AM20" s="2">
        <v>39.200000000000003</v>
      </c>
      <c r="AN20" s="2">
        <v>37.799999999999997</v>
      </c>
      <c r="AO20" s="2">
        <v>37.6</v>
      </c>
    </row>
    <row r="21" spans="1:41">
      <c r="A21" s="2">
        <v>33.700000000000003</v>
      </c>
      <c r="B21" s="1" t="s">
        <v>58</v>
      </c>
      <c r="C21" s="3">
        <v>4400000</v>
      </c>
      <c r="D21" s="2">
        <v>260000</v>
      </c>
      <c r="E21" s="2">
        <v>101100</v>
      </c>
      <c r="F21" s="2">
        <f t="shared" si="0"/>
        <v>13.627173473513951</v>
      </c>
      <c r="G21" s="2">
        <v>83700</v>
      </c>
      <c r="H21" s="2">
        <f t="shared" si="1"/>
        <v>14.938425843298232</v>
      </c>
      <c r="I21" s="2">
        <v>84500</v>
      </c>
      <c r="J21" s="2">
        <f t="shared" si="2"/>
        <v>14.938425843298232</v>
      </c>
      <c r="K21" s="2">
        <v>45.7</v>
      </c>
      <c r="L21" s="16">
        <f t="shared" si="3"/>
        <v>7.6230191826522102E-3</v>
      </c>
      <c r="M21" s="2">
        <v>37.4</v>
      </c>
      <c r="N21" s="2">
        <v>36.1</v>
      </c>
      <c r="O21" s="2">
        <v>30.8</v>
      </c>
      <c r="P21" s="2">
        <v>78.2</v>
      </c>
      <c r="Q21" s="2">
        <v>38.4</v>
      </c>
      <c r="R21" s="2">
        <v>37.799999999999997</v>
      </c>
      <c r="S21" s="2">
        <v>37.700000000000003</v>
      </c>
      <c r="T21" s="2">
        <v>38.799999999999997</v>
      </c>
      <c r="U21" s="2">
        <v>42.4</v>
      </c>
      <c r="V21" s="2">
        <v>37.6</v>
      </c>
      <c r="W21" s="2">
        <v>35.5</v>
      </c>
      <c r="X21" s="2">
        <v>37.4</v>
      </c>
      <c r="Y21" s="2">
        <v>36.799999999999997</v>
      </c>
      <c r="Z21" s="2">
        <v>35</v>
      </c>
      <c r="AA21" s="2">
        <v>36.9</v>
      </c>
      <c r="AB21" s="2">
        <v>35.4</v>
      </c>
      <c r="AC21" s="2">
        <v>37.799999999999997</v>
      </c>
      <c r="AD21" s="2">
        <v>37.700000000000003</v>
      </c>
      <c r="AE21" s="2">
        <v>34.799999999999997</v>
      </c>
      <c r="AF21" s="2">
        <v>38.6</v>
      </c>
      <c r="AG21" s="2">
        <v>38.1</v>
      </c>
      <c r="AH21" s="2">
        <v>37</v>
      </c>
      <c r="AI21" s="2">
        <v>40.299999999999997</v>
      </c>
      <c r="AJ21" s="2">
        <v>37.200000000000003</v>
      </c>
      <c r="AK21" s="2">
        <v>36.299999999999997</v>
      </c>
      <c r="AL21" s="2">
        <v>37.1</v>
      </c>
      <c r="AM21" s="2">
        <v>38.6</v>
      </c>
      <c r="AN21" s="2">
        <v>37.799999999999997</v>
      </c>
      <c r="AO21" s="2">
        <v>37.6</v>
      </c>
    </row>
    <row r="22" spans="1:41">
      <c r="A22" s="2">
        <v>33.700000000000003</v>
      </c>
      <c r="B22" s="1" t="s">
        <v>59</v>
      </c>
      <c r="C22" s="3">
        <v>4500000</v>
      </c>
      <c r="D22" s="2">
        <v>250000</v>
      </c>
      <c r="E22" s="2">
        <v>101800</v>
      </c>
      <c r="F22" s="2">
        <f t="shared" si="0"/>
        <v>13.721525812104057</v>
      </c>
      <c r="G22" s="2">
        <v>85100</v>
      </c>
      <c r="H22" s="2">
        <f t="shared" si="1"/>
        <v>15.188291986435837</v>
      </c>
      <c r="I22" s="2">
        <v>83800</v>
      </c>
      <c r="J22" s="2">
        <f t="shared" si="2"/>
        <v>15.188291986435837</v>
      </c>
      <c r="K22" s="2">
        <v>38.6</v>
      </c>
      <c r="L22" s="16">
        <f t="shared" si="3"/>
        <v>6.438698915763136E-3</v>
      </c>
      <c r="M22" s="2">
        <v>36.35</v>
      </c>
      <c r="N22" s="2">
        <v>37.6</v>
      </c>
      <c r="O22" s="2">
        <v>31.33</v>
      </c>
      <c r="P22" s="2">
        <v>78.599999999999994</v>
      </c>
      <c r="Q22" s="2">
        <v>38.299999999999997</v>
      </c>
      <c r="R22" s="2">
        <v>37.799999999999997</v>
      </c>
      <c r="S22" s="2">
        <v>38.1</v>
      </c>
      <c r="T22" s="2">
        <v>38.700000000000003</v>
      </c>
      <c r="U22" s="2">
        <v>42.1</v>
      </c>
      <c r="V22" s="2">
        <v>37.799999999999997</v>
      </c>
      <c r="W22" s="2">
        <v>35.4</v>
      </c>
      <c r="X22" s="2">
        <v>38.5</v>
      </c>
      <c r="Y22" s="2">
        <v>37</v>
      </c>
      <c r="Z22" s="2">
        <v>36.5</v>
      </c>
      <c r="AA22" s="2">
        <v>36.799999999999997</v>
      </c>
      <c r="AB22" s="2">
        <v>35.4</v>
      </c>
      <c r="AC22" s="2">
        <v>36.200000000000003</v>
      </c>
      <c r="AD22" s="2">
        <v>37.200000000000003</v>
      </c>
      <c r="AE22" s="2">
        <v>35.799999999999997</v>
      </c>
      <c r="AF22" s="2">
        <v>38.4</v>
      </c>
      <c r="AG22" s="2">
        <v>37.299999999999997</v>
      </c>
      <c r="AH22" s="2">
        <v>36.299999999999997</v>
      </c>
      <c r="AI22" s="2">
        <v>37.799999999999997</v>
      </c>
      <c r="AJ22" s="2">
        <v>36.1</v>
      </c>
      <c r="AK22" s="2">
        <v>36.200000000000003</v>
      </c>
      <c r="AL22" s="2">
        <v>37.5</v>
      </c>
      <c r="AM22" s="2">
        <v>38.1</v>
      </c>
      <c r="AN22" s="2">
        <v>37.4</v>
      </c>
      <c r="AO22" s="2">
        <v>37.1</v>
      </c>
    </row>
    <row r="23" spans="1:41" s="14" customFormat="1">
      <c r="B23" s="13" t="s">
        <v>60</v>
      </c>
      <c r="C23" s="14">
        <f>AVERAGE(C3:C22)</f>
        <v>4221000</v>
      </c>
      <c r="D23" s="14">
        <f t="shared" ref="D23:S23" si="4">AVERAGE(D3:D22)</f>
        <v>225500</v>
      </c>
      <c r="E23" s="14">
        <f t="shared" si="4"/>
        <v>101530</v>
      </c>
      <c r="F23" s="14">
        <f t="shared" si="4"/>
        <v>13.685132767219304</v>
      </c>
      <c r="G23" s="14">
        <f t="shared" si="4"/>
        <v>85010</v>
      </c>
      <c r="H23" s="14">
        <f t="shared" si="4"/>
        <v>15.172229162948417</v>
      </c>
      <c r="I23" s="14">
        <f t="shared" si="4"/>
        <v>85085</v>
      </c>
      <c r="J23" s="14">
        <f t="shared" si="4"/>
        <v>15.172229162948417</v>
      </c>
      <c r="K23" s="14">
        <f t="shared" si="4"/>
        <v>43.865000000000002</v>
      </c>
      <c r="L23" s="15">
        <f>AVERAGE(L3:L22)</f>
        <v>7.3169307756463711E-3</v>
      </c>
      <c r="M23" s="14">
        <f t="shared" si="4"/>
        <v>36.945500000000003</v>
      </c>
      <c r="N23" s="14">
        <f t="shared" si="4"/>
        <v>36.838000000000008</v>
      </c>
      <c r="O23" s="14">
        <f t="shared" si="4"/>
        <v>31.469500000000004</v>
      </c>
      <c r="P23" s="14">
        <f t="shared" si="4"/>
        <v>78.490000000000009</v>
      </c>
      <c r="Q23" s="14">
        <f t="shared" si="4"/>
        <v>38.344499999999996</v>
      </c>
      <c r="R23" s="14">
        <f t="shared" si="4"/>
        <v>37.86999999999999</v>
      </c>
      <c r="S23" s="14">
        <f t="shared" si="4"/>
        <v>37.864999999999995</v>
      </c>
      <c r="T23" s="14">
        <f t="shared" ref="T23" si="5">AVERAGE(T3:T22)</f>
        <v>38.8825</v>
      </c>
      <c r="U23" s="14">
        <f t="shared" ref="U23" si="6">AVERAGE(U3:U22)</f>
        <v>42.655500000000004</v>
      </c>
      <c r="V23" s="14">
        <f t="shared" ref="V23" si="7">AVERAGE(V3:V22)</f>
        <v>39.274999999999991</v>
      </c>
      <c r="W23" s="14">
        <f t="shared" ref="W23" si="8">AVERAGE(W3:W22)</f>
        <v>36.044499999999999</v>
      </c>
      <c r="X23" s="14">
        <f t="shared" ref="X23" si="9">AVERAGE(X3:X22)</f>
        <v>38.369999999999997</v>
      </c>
      <c r="Y23" s="14">
        <f t="shared" ref="Y23" si="10">AVERAGE(Y3:Y22)</f>
        <v>37.953000000000003</v>
      </c>
      <c r="Z23" s="14">
        <f t="shared" ref="Z23" si="11">AVERAGE(Z3:Z22)</f>
        <v>35.61</v>
      </c>
      <c r="AA23" s="14">
        <f t="shared" ref="AA23" si="12">AVERAGE(AA3:AA22)</f>
        <v>37.839999999999996</v>
      </c>
      <c r="AB23" s="14">
        <f t="shared" ref="AB23" si="13">AVERAGE(AB3:AB22)</f>
        <v>35.64</v>
      </c>
      <c r="AC23" s="14">
        <f t="shared" ref="AC23" si="14">AVERAGE(AC3:AC22)</f>
        <v>37.305</v>
      </c>
      <c r="AD23" s="14">
        <f t="shared" ref="AD23:AE23" si="15">AVERAGE(AD3:AD22)</f>
        <v>37.590000000000011</v>
      </c>
      <c r="AE23" s="14">
        <f t="shared" si="15"/>
        <v>35.534999999999989</v>
      </c>
      <c r="AF23" s="14">
        <f t="shared" ref="AF23" si="16">AVERAGE(AF3:AF22)</f>
        <v>38.285000000000004</v>
      </c>
      <c r="AG23" s="14">
        <f t="shared" ref="AG23" si="17">AVERAGE(AG3:AG22)</f>
        <v>38.054999999999993</v>
      </c>
      <c r="AH23" s="14">
        <f t="shared" ref="AH23" si="18">AVERAGE(AH3:AH22)</f>
        <v>36.83</v>
      </c>
      <c r="AI23" s="14">
        <f t="shared" ref="AI23" si="19">AVERAGE(AI3:AI22)</f>
        <v>39.204999999999998</v>
      </c>
      <c r="AJ23" s="14">
        <f t="shared" ref="AJ23" si="20">AVERAGE(AJ3:AJ22)</f>
        <v>37.115000000000002</v>
      </c>
      <c r="AK23" s="14">
        <f t="shared" ref="AK23" si="21">AVERAGE(AK3:AK22)</f>
        <v>36.835000000000001</v>
      </c>
      <c r="AL23" s="14">
        <f t="shared" ref="AL23" si="22">AVERAGE(AL3:AL22)</f>
        <v>37.669999999999995</v>
      </c>
      <c r="AM23" s="14">
        <f t="shared" ref="AM23" si="23">AVERAGE(AM3:AM22)</f>
        <v>38.720000000000006</v>
      </c>
      <c r="AN23" s="14">
        <f t="shared" ref="AN23" si="24">AVERAGE(AN3:AN22)</f>
        <v>37.84999999999998</v>
      </c>
      <c r="AO23" s="14">
        <f t="shared" ref="AO23" si="25">AVERAGE(AO3:AO22)</f>
        <v>37.430000000000007</v>
      </c>
    </row>
    <row r="24" spans="1:41" s="14" customFormat="1">
      <c r="B24" s="13" t="s">
        <v>61</v>
      </c>
      <c r="C24" s="14">
        <f>STDEV(C3:C22)</f>
        <v>203234.37338776083</v>
      </c>
      <c r="D24" s="14">
        <f t="shared" ref="D24:S24" si="26">STDEV(D3:D22)</f>
        <v>27620.549177054847</v>
      </c>
      <c r="E24" s="14">
        <f t="shared" si="26"/>
        <v>1394.009740961209</v>
      </c>
      <c r="F24" s="14">
        <f t="shared" ref="F24" si="27">STDEV(F3:F22)</f>
        <v>0.18789725582439831</v>
      </c>
      <c r="G24" s="14">
        <f t="shared" si="26"/>
        <v>957.46375498253883</v>
      </c>
      <c r="H24" s="14">
        <f t="shared" ref="H24" si="28">STDEV(H3:H22)</f>
        <v>0.17088412546538273</v>
      </c>
      <c r="I24" s="14">
        <f t="shared" si="26"/>
        <v>1272.0786966718356</v>
      </c>
      <c r="J24" s="14">
        <f t="shared" ref="J24" si="29">STDEV(J3:J22)</f>
        <v>0.17088412546538273</v>
      </c>
      <c r="K24" s="14">
        <f t="shared" si="26"/>
        <v>4.2140460617471094</v>
      </c>
      <c r="L24" s="15">
        <f t="shared" ref="L24" si="30">STDEV(L3:L22)</f>
        <v>7.0292678261002647E-4</v>
      </c>
      <c r="M24" s="14">
        <f t="shared" si="26"/>
        <v>0.67336918004284907</v>
      </c>
      <c r="N24" s="14">
        <f t="shared" si="26"/>
        <v>0.74990244979632203</v>
      </c>
      <c r="O24" s="14">
        <f t="shared" si="26"/>
        <v>0.58719202454070429</v>
      </c>
      <c r="P24" s="14">
        <f t="shared" si="26"/>
        <v>0.9732744514753966</v>
      </c>
      <c r="Q24" s="14">
        <f t="shared" si="26"/>
        <v>0.79400699320796797</v>
      </c>
      <c r="R24" s="14">
        <f t="shared" si="26"/>
        <v>0.48893008864146231</v>
      </c>
      <c r="S24" s="14">
        <f t="shared" si="26"/>
        <v>1.0599280015270152</v>
      </c>
      <c r="T24" s="14">
        <f t="shared" ref="T24:AO24" si="31">STDEV(T3:T22)</f>
        <v>0.36930767375555068</v>
      </c>
      <c r="U24" s="14">
        <f t="shared" si="31"/>
        <v>0.55698884993091957</v>
      </c>
      <c r="V24" s="14">
        <f t="shared" si="31"/>
        <v>1.3775932483482691</v>
      </c>
      <c r="W24" s="14">
        <f t="shared" si="31"/>
        <v>0.55004760559523658</v>
      </c>
      <c r="X24" s="14">
        <f t="shared" si="31"/>
        <v>0.68372047227688537</v>
      </c>
      <c r="Y24" s="14">
        <f t="shared" si="31"/>
        <v>0.95980864320912895</v>
      </c>
      <c r="Z24" s="14">
        <f t="shared" si="31"/>
        <v>0.86078299728854624</v>
      </c>
      <c r="AA24" s="14">
        <f t="shared" si="31"/>
        <v>1.4449185007066008</v>
      </c>
      <c r="AB24" s="14">
        <f t="shared" si="31"/>
        <v>0.59683375098580771</v>
      </c>
      <c r="AC24" s="14">
        <f t="shared" si="31"/>
        <v>0.72072697217535353</v>
      </c>
      <c r="AD24" s="14">
        <f t="shared" si="31"/>
        <v>0.65526210103486893</v>
      </c>
      <c r="AE24" s="14">
        <f t="shared" si="31"/>
        <v>0.6945464252604765</v>
      </c>
      <c r="AF24" s="14">
        <f t="shared" si="31"/>
        <v>0.61923127216012963</v>
      </c>
      <c r="AG24" s="14">
        <f t="shared" si="31"/>
        <v>0.9081357422300872</v>
      </c>
      <c r="AH24" s="14">
        <f t="shared" si="31"/>
        <v>0.31304951684997123</v>
      </c>
      <c r="AI24" s="14">
        <f t="shared" si="31"/>
        <v>0.84944254165831989</v>
      </c>
      <c r="AJ24" s="14">
        <f t="shared" si="31"/>
        <v>0.67377569280178451</v>
      </c>
      <c r="AK24" s="14">
        <f t="shared" si="31"/>
        <v>0.88927824075127604</v>
      </c>
      <c r="AL24" s="14">
        <f t="shared" si="31"/>
        <v>0.64408237459439777</v>
      </c>
      <c r="AM24" s="14">
        <f t="shared" si="31"/>
        <v>0.78311120404112244</v>
      </c>
      <c r="AN24" s="14">
        <f t="shared" si="31"/>
        <v>0.63866637365850454</v>
      </c>
      <c r="AO24" s="14">
        <f t="shared" si="31"/>
        <v>0.76921012118036725</v>
      </c>
    </row>
    <row r="25" spans="1:41" customFormat="1">
      <c r="A25" s="4"/>
      <c r="B25" s="5" t="s">
        <v>62</v>
      </c>
      <c r="C25" s="6" t="s">
        <v>63</v>
      </c>
      <c r="D25" s="7"/>
      <c r="E25" s="8"/>
      <c r="F25" s="9">
        <v>13.7</v>
      </c>
      <c r="G25" s="8"/>
      <c r="H25" s="7">
        <v>11.9</v>
      </c>
      <c r="I25" s="8"/>
      <c r="J25" s="7">
        <v>11.9</v>
      </c>
      <c r="K25" s="8"/>
      <c r="L25" s="8"/>
      <c r="M25" s="8"/>
      <c r="N25" s="8">
        <v>36.9</v>
      </c>
      <c r="O25" s="8">
        <v>31.4</v>
      </c>
      <c r="P25" s="8">
        <v>78.400000000000006</v>
      </c>
      <c r="Q25" s="8">
        <v>38.299999999999997</v>
      </c>
      <c r="R25" s="8">
        <v>37.9</v>
      </c>
      <c r="S25" s="8"/>
      <c r="T25" s="8">
        <v>38.9</v>
      </c>
      <c r="U25" s="8">
        <v>42.7</v>
      </c>
      <c r="V25" s="8">
        <v>39.299999999999997</v>
      </c>
      <c r="W25" s="8">
        <v>36</v>
      </c>
      <c r="X25" s="8">
        <v>38.4</v>
      </c>
      <c r="Y25" s="8">
        <v>37.9</v>
      </c>
      <c r="Z25" s="8">
        <v>35.5</v>
      </c>
      <c r="AA25" s="8">
        <v>37.700000000000003</v>
      </c>
      <c r="AB25" s="8">
        <v>35.6</v>
      </c>
      <c r="AC25" s="8">
        <v>37.299999999999997</v>
      </c>
      <c r="AD25" s="8">
        <v>37.6</v>
      </c>
      <c r="AE25" s="8">
        <v>35.5</v>
      </c>
      <c r="AF25" s="8">
        <v>38.299999999999997</v>
      </c>
      <c r="AG25" s="8">
        <v>38</v>
      </c>
      <c r="AH25" s="8">
        <v>36.799999999999997</v>
      </c>
      <c r="AI25" s="8">
        <v>39.200000000000003</v>
      </c>
      <c r="AJ25" s="8">
        <v>37</v>
      </c>
      <c r="AK25" s="8">
        <v>36.700000000000003</v>
      </c>
      <c r="AL25" s="8">
        <v>37.6</v>
      </c>
      <c r="AM25" s="8">
        <v>38.57</v>
      </c>
      <c r="AN25" s="8">
        <v>37.79</v>
      </c>
      <c r="AO25" s="8">
        <v>37.380000000000003</v>
      </c>
    </row>
    <row r="26" spans="1:41" customFormat="1">
      <c r="A26" s="4"/>
      <c r="B26" s="5" t="s">
        <v>64</v>
      </c>
      <c r="C26" s="9"/>
      <c r="D26" s="7"/>
      <c r="E26" s="8"/>
      <c r="F26" s="9">
        <v>0.3</v>
      </c>
      <c r="G26" s="8"/>
      <c r="H26" s="7">
        <v>0.1</v>
      </c>
      <c r="I26" s="8"/>
      <c r="J26" s="7">
        <v>0.1</v>
      </c>
      <c r="K26" s="8"/>
      <c r="L26" s="8"/>
      <c r="M26" s="8"/>
      <c r="N26" s="8">
        <v>1.5</v>
      </c>
      <c r="O26" s="8">
        <v>0.4</v>
      </c>
      <c r="P26" s="8">
        <v>0.2</v>
      </c>
      <c r="Q26" s="8">
        <v>1.4</v>
      </c>
      <c r="R26" s="8">
        <v>1.2</v>
      </c>
      <c r="S26" s="8"/>
      <c r="T26" s="8">
        <v>2.1</v>
      </c>
      <c r="U26" s="8">
        <v>1.8</v>
      </c>
      <c r="V26" s="8">
        <v>0.9</v>
      </c>
      <c r="W26" s="8">
        <v>0.7</v>
      </c>
      <c r="X26" s="8">
        <v>0.7</v>
      </c>
      <c r="Y26" s="8">
        <v>1</v>
      </c>
      <c r="Z26" s="8">
        <v>0.7</v>
      </c>
      <c r="AA26" s="8">
        <v>0.8</v>
      </c>
      <c r="AB26" s="8">
        <v>0.8</v>
      </c>
      <c r="AC26" s="8">
        <v>0.9</v>
      </c>
      <c r="AD26" s="8">
        <v>1.1000000000000001</v>
      </c>
      <c r="AE26" s="8">
        <v>0.7</v>
      </c>
      <c r="AF26" s="8">
        <v>0.8</v>
      </c>
      <c r="AG26" s="8">
        <v>0.9</v>
      </c>
      <c r="AH26" s="8">
        <v>0.6</v>
      </c>
      <c r="AI26" s="8">
        <v>0.9</v>
      </c>
      <c r="AJ26" s="8">
        <v>0.9</v>
      </c>
      <c r="AK26" s="8">
        <v>1.2</v>
      </c>
      <c r="AL26" s="8">
        <v>1.9</v>
      </c>
      <c r="AM26" s="8">
        <v>0.2</v>
      </c>
      <c r="AN26" s="8">
        <v>0.08</v>
      </c>
      <c r="AO26" s="8">
        <v>0.08</v>
      </c>
    </row>
    <row r="27" spans="1:41">
      <c r="C27" s="3"/>
    </row>
    <row r="29" spans="1:41">
      <c r="A29" s="2">
        <v>32.6</v>
      </c>
      <c r="B29" s="1" t="s">
        <v>65</v>
      </c>
      <c r="C29" s="3">
        <v>4080000</v>
      </c>
      <c r="D29" s="2">
        <v>260000</v>
      </c>
      <c r="E29" s="2">
        <v>103000</v>
      </c>
      <c r="F29" s="2">
        <f>(E29/0.7419)/10000</f>
        <v>13.883272678258527</v>
      </c>
      <c r="G29" s="2">
        <v>87000</v>
      </c>
      <c r="H29" s="2">
        <f>(G29/0.5603)/10000</f>
        <v>15.527396037836873</v>
      </c>
      <c r="I29" s="2">
        <v>85100</v>
      </c>
      <c r="J29" s="2">
        <f>(I29/0.5603)/10000</f>
        <v>15.188291986435837</v>
      </c>
      <c r="K29" s="2">
        <v>519</v>
      </c>
      <c r="L29" s="12">
        <f>(K29/0.5995)/10000</f>
        <v>8.6572143452877393E-2</v>
      </c>
      <c r="M29" s="2">
        <v>443.1</v>
      </c>
      <c r="N29" s="2">
        <v>452.2</v>
      </c>
      <c r="O29" s="2">
        <v>434.8</v>
      </c>
      <c r="P29" s="2">
        <v>538</v>
      </c>
      <c r="Q29" s="2">
        <v>489</v>
      </c>
      <c r="R29" s="2">
        <v>463</v>
      </c>
      <c r="S29" s="2">
        <v>459</v>
      </c>
      <c r="T29" s="2">
        <v>482</v>
      </c>
      <c r="U29" s="2">
        <v>378.3</v>
      </c>
      <c r="V29" s="2">
        <v>470</v>
      </c>
      <c r="W29" s="2">
        <v>455</v>
      </c>
      <c r="X29" s="2">
        <v>474</v>
      </c>
      <c r="Y29" s="2">
        <v>466</v>
      </c>
      <c r="Z29" s="2">
        <v>455</v>
      </c>
      <c r="AA29" s="2">
        <v>471</v>
      </c>
      <c r="AB29" s="2">
        <v>467</v>
      </c>
      <c r="AC29" s="2">
        <v>457</v>
      </c>
      <c r="AD29" s="2">
        <v>468</v>
      </c>
      <c r="AE29" s="2">
        <v>454</v>
      </c>
      <c r="AF29" s="2">
        <v>464</v>
      </c>
      <c r="AG29" s="2">
        <v>453</v>
      </c>
      <c r="AH29" s="2">
        <v>453</v>
      </c>
      <c r="AI29" s="2">
        <v>468</v>
      </c>
      <c r="AJ29" s="2">
        <v>454</v>
      </c>
      <c r="AK29" s="2">
        <v>445</v>
      </c>
      <c r="AL29" s="2">
        <v>463.9</v>
      </c>
      <c r="AM29" s="2">
        <v>426</v>
      </c>
      <c r="AN29" s="2">
        <v>464</v>
      </c>
      <c r="AO29" s="2">
        <v>471</v>
      </c>
    </row>
    <row r="30" spans="1:41">
      <c r="A30" s="2">
        <v>32.6</v>
      </c>
      <c r="B30" s="1" t="s">
        <v>66</v>
      </c>
      <c r="C30" s="3">
        <v>4060000</v>
      </c>
      <c r="D30" s="2">
        <v>260000</v>
      </c>
      <c r="E30" s="2">
        <v>101200</v>
      </c>
      <c r="F30" s="2">
        <f t="shared" ref="F30:F48" si="32">(E30/0.7419)/10000</f>
        <v>13.640652379026823</v>
      </c>
      <c r="G30" s="2">
        <v>86100</v>
      </c>
      <c r="H30" s="2">
        <f t="shared" ref="H30:H48" si="33">(G30/0.5603)/10000</f>
        <v>15.366767802962698</v>
      </c>
      <c r="I30" s="2">
        <v>85200</v>
      </c>
      <c r="J30" s="2">
        <f t="shared" ref="J30:J48" si="34">(I30/0.5603)/10000</f>
        <v>15.206139568088524</v>
      </c>
      <c r="K30" s="2">
        <v>532</v>
      </c>
      <c r="L30" s="12">
        <f t="shared" ref="L30:L47" si="35">(K30/0.5995)/10000</f>
        <v>8.8740617180984152E-2</v>
      </c>
      <c r="M30" s="2">
        <v>439.5</v>
      </c>
      <c r="N30" s="2">
        <v>448</v>
      </c>
      <c r="O30" s="2">
        <v>432</v>
      </c>
      <c r="P30" s="2">
        <v>538</v>
      </c>
      <c r="Q30" s="2">
        <v>474</v>
      </c>
      <c r="R30" s="2">
        <v>456</v>
      </c>
      <c r="S30" s="2">
        <v>452</v>
      </c>
      <c r="T30" s="2">
        <v>478</v>
      </c>
      <c r="U30" s="2">
        <v>372.9</v>
      </c>
      <c r="V30" s="2">
        <v>458</v>
      </c>
      <c r="W30" s="2">
        <v>448</v>
      </c>
      <c r="X30" s="2">
        <v>462</v>
      </c>
      <c r="Y30" s="2">
        <v>458</v>
      </c>
      <c r="Z30" s="2">
        <v>447</v>
      </c>
      <c r="AA30" s="2">
        <v>457</v>
      </c>
      <c r="AB30" s="2">
        <v>454</v>
      </c>
      <c r="AC30" s="2">
        <v>444</v>
      </c>
      <c r="AD30" s="2">
        <v>453</v>
      </c>
      <c r="AE30" s="2">
        <v>448</v>
      </c>
      <c r="AF30" s="2">
        <v>457</v>
      </c>
      <c r="AG30" s="2">
        <v>450</v>
      </c>
      <c r="AH30" s="2">
        <v>446</v>
      </c>
      <c r="AI30" s="2">
        <v>465</v>
      </c>
      <c r="AJ30" s="2">
        <v>448</v>
      </c>
      <c r="AK30" s="2">
        <v>438</v>
      </c>
      <c r="AL30" s="2">
        <v>457</v>
      </c>
      <c r="AM30" s="2">
        <v>418</v>
      </c>
      <c r="AN30" s="2">
        <v>456</v>
      </c>
      <c r="AO30" s="2">
        <v>465</v>
      </c>
    </row>
    <row r="31" spans="1:41">
      <c r="A31" s="2">
        <v>32.6</v>
      </c>
      <c r="B31" s="1" t="s">
        <v>67</v>
      </c>
      <c r="C31" s="3">
        <v>4120000</v>
      </c>
      <c r="D31" s="2">
        <v>250000</v>
      </c>
      <c r="E31" s="2">
        <v>100100</v>
      </c>
      <c r="F31" s="2">
        <f t="shared" si="32"/>
        <v>13.492384418385228</v>
      </c>
      <c r="G31" s="2">
        <v>86400</v>
      </c>
      <c r="H31" s="2">
        <f t="shared" si="33"/>
        <v>15.420310547920757</v>
      </c>
      <c r="I31" s="2">
        <v>84600</v>
      </c>
      <c r="J31" s="2">
        <f t="shared" si="34"/>
        <v>15.099054078172406</v>
      </c>
      <c r="K31" s="2">
        <v>543</v>
      </c>
      <c r="L31" s="12">
        <f t="shared" si="35"/>
        <v>9.0575479566305253E-2</v>
      </c>
      <c r="M31" s="2">
        <v>442.7</v>
      </c>
      <c r="N31" s="2">
        <v>454.4</v>
      </c>
      <c r="O31" s="2">
        <v>432.1</v>
      </c>
      <c r="P31" s="2">
        <v>539</v>
      </c>
      <c r="Q31" s="2">
        <v>478</v>
      </c>
      <c r="R31" s="2">
        <v>456</v>
      </c>
      <c r="S31" s="2">
        <v>449</v>
      </c>
      <c r="T31" s="2">
        <v>475</v>
      </c>
      <c r="U31" s="2">
        <v>372.2</v>
      </c>
      <c r="V31" s="2">
        <v>458.3</v>
      </c>
      <c r="W31" s="2">
        <v>450</v>
      </c>
      <c r="X31" s="2">
        <v>463</v>
      </c>
      <c r="Y31" s="2">
        <v>461</v>
      </c>
      <c r="Z31" s="2">
        <v>454</v>
      </c>
      <c r="AA31" s="2">
        <v>461</v>
      </c>
      <c r="AB31" s="2">
        <v>462</v>
      </c>
      <c r="AC31" s="2">
        <v>456</v>
      </c>
      <c r="AD31" s="2">
        <v>461</v>
      </c>
      <c r="AE31" s="2">
        <v>448</v>
      </c>
      <c r="AF31" s="2">
        <v>462</v>
      </c>
      <c r="AG31" s="2">
        <v>450</v>
      </c>
      <c r="AH31" s="2">
        <v>455</v>
      </c>
      <c r="AI31" s="2">
        <v>466</v>
      </c>
      <c r="AJ31" s="2">
        <v>454</v>
      </c>
      <c r="AK31" s="2">
        <v>440</v>
      </c>
      <c r="AL31" s="2">
        <v>462</v>
      </c>
      <c r="AM31" s="2">
        <v>427</v>
      </c>
      <c r="AN31" s="2">
        <v>469</v>
      </c>
      <c r="AO31" s="2">
        <v>472</v>
      </c>
    </row>
    <row r="32" spans="1:41">
      <c r="A32" s="2">
        <v>32.6</v>
      </c>
      <c r="B32" s="1" t="s">
        <v>68</v>
      </c>
      <c r="C32" s="3">
        <v>4140000</v>
      </c>
      <c r="D32" s="2">
        <v>210000</v>
      </c>
      <c r="E32" s="2">
        <v>104000</v>
      </c>
      <c r="F32" s="2">
        <f t="shared" si="32"/>
        <v>14.018061733387247</v>
      </c>
      <c r="G32" s="2">
        <v>85000</v>
      </c>
      <c r="H32" s="2">
        <f t="shared" si="33"/>
        <v>15.170444404783153</v>
      </c>
      <c r="I32" s="2">
        <v>84300</v>
      </c>
      <c r="J32" s="2">
        <f t="shared" si="34"/>
        <v>15.04551133321435</v>
      </c>
      <c r="K32" s="2">
        <v>529</v>
      </c>
      <c r="L32" s="12">
        <f t="shared" si="35"/>
        <v>8.8240200166805657E-2</v>
      </c>
      <c r="M32" s="2">
        <v>455</v>
      </c>
      <c r="N32" s="2">
        <v>461</v>
      </c>
      <c r="O32" s="2">
        <v>439.2</v>
      </c>
      <c r="P32" s="2">
        <v>543</v>
      </c>
      <c r="Q32" s="2">
        <v>481</v>
      </c>
      <c r="R32" s="2">
        <v>463</v>
      </c>
      <c r="S32" s="2">
        <v>461</v>
      </c>
      <c r="T32" s="2">
        <v>478</v>
      </c>
      <c r="U32" s="2">
        <v>373.4</v>
      </c>
      <c r="V32" s="2">
        <v>469</v>
      </c>
      <c r="W32" s="2">
        <v>456</v>
      </c>
      <c r="X32" s="2">
        <v>465</v>
      </c>
      <c r="Y32" s="2">
        <v>468</v>
      </c>
      <c r="Z32" s="2">
        <v>459</v>
      </c>
      <c r="AA32" s="2">
        <v>479</v>
      </c>
      <c r="AB32" s="2">
        <v>464</v>
      </c>
      <c r="AC32" s="2">
        <v>453</v>
      </c>
      <c r="AD32" s="2">
        <v>448</v>
      </c>
      <c r="AE32" s="2">
        <v>442</v>
      </c>
      <c r="AF32" s="2">
        <v>460</v>
      </c>
      <c r="AG32" s="2">
        <v>447</v>
      </c>
      <c r="AH32" s="2">
        <v>427</v>
      </c>
      <c r="AI32" s="2">
        <v>453</v>
      </c>
      <c r="AJ32" s="2">
        <v>446</v>
      </c>
      <c r="AK32" s="2">
        <v>449</v>
      </c>
      <c r="AL32" s="2">
        <v>455</v>
      </c>
      <c r="AM32" s="2">
        <v>418</v>
      </c>
      <c r="AN32" s="2">
        <v>462</v>
      </c>
      <c r="AO32" s="2">
        <v>450</v>
      </c>
    </row>
    <row r="33" spans="1:41">
      <c r="A33" s="2">
        <v>32.6</v>
      </c>
      <c r="B33" s="1" t="s">
        <v>69</v>
      </c>
      <c r="C33" s="3">
        <v>4150000</v>
      </c>
      <c r="D33" s="2">
        <v>250000</v>
      </c>
      <c r="E33" s="2">
        <v>103300</v>
      </c>
      <c r="F33" s="2">
        <f t="shared" si="32"/>
        <v>13.923709394797141</v>
      </c>
      <c r="G33" s="2">
        <v>83400</v>
      </c>
      <c r="H33" s="2">
        <f t="shared" si="33"/>
        <v>14.884883098340174</v>
      </c>
      <c r="I33" s="2">
        <v>84900</v>
      </c>
      <c r="J33" s="2">
        <f t="shared" si="34"/>
        <v>15.152596823130466</v>
      </c>
      <c r="K33" s="2">
        <v>529</v>
      </c>
      <c r="L33" s="12">
        <f t="shared" si="35"/>
        <v>8.8240200166805657E-2</v>
      </c>
      <c r="M33" s="2">
        <v>454.8</v>
      </c>
      <c r="N33" s="2">
        <v>466.7</v>
      </c>
      <c r="O33" s="2">
        <v>440.3</v>
      </c>
      <c r="P33" s="2">
        <v>540</v>
      </c>
      <c r="Q33" s="2">
        <v>480</v>
      </c>
      <c r="R33" s="2">
        <v>460</v>
      </c>
      <c r="S33" s="2">
        <v>462</v>
      </c>
      <c r="T33" s="2">
        <v>480</v>
      </c>
      <c r="U33" s="2">
        <v>375.4</v>
      </c>
      <c r="V33" s="2">
        <v>474</v>
      </c>
      <c r="W33" s="2">
        <v>461</v>
      </c>
      <c r="X33" s="2">
        <v>471</v>
      </c>
      <c r="Y33" s="2">
        <v>479</v>
      </c>
      <c r="Z33" s="2">
        <v>457</v>
      </c>
      <c r="AA33" s="2">
        <v>475</v>
      </c>
      <c r="AB33" s="2">
        <v>468</v>
      </c>
      <c r="AC33" s="2">
        <v>455</v>
      </c>
      <c r="AD33" s="2">
        <v>452</v>
      </c>
      <c r="AE33" s="2">
        <v>448</v>
      </c>
      <c r="AF33" s="2">
        <v>459</v>
      </c>
      <c r="AG33" s="2">
        <v>453</v>
      </c>
      <c r="AH33" s="2">
        <v>428</v>
      </c>
      <c r="AI33" s="2">
        <v>456</v>
      </c>
      <c r="AJ33" s="2">
        <v>445</v>
      </c>
      <c r="AK33" s="2">
        <v>448</v>
      </c>
      <c r="AL33" s="2">
        <v>462</v>
      </c>
      <c r="AM33" s="2">
        <v>421</v>
      </c>
      <c r="AN33" s="2">
        <v>462</v>
      </c>
      <c r="AO33" s="2">
        <v>447</v>
      </c>
    </row>
    <row r="34" spans="1:41">
      <c r="A34" s="2">
        <v>32.6</v>
      </c>
      <c r="B34" s="1" t="s">
        <v>70</v>
      </c>
      <c r="C34" s="3">
        <v>4310000</v>
      </c>
      <c r="D34" s="2">
        <v>310000</v>
      </c>
      <c r="E34" s="2">
        <v>100800</v>
      </c>
      <c r="F34" s="2">
        <f t="shared" si="32"/>
        <v>13.586736756975334</v>
      </c>
      <c r="G34" s="2">
        <v>85700</v>
      </c>
      <c r="H34" s="2">
        <f t="shared" si="33"/>
        <v>15.295377476351952</v>
      </c>
      <c r="I34" s="2">
        <v>82600</v>
      </c>
      <c r="J34" s="2">
        <f t="shared" si="34"/>
        <v>14.742102445118686</v>
      </c>
      <c r="K34" s="2">
        <v>514</v>
      </c>
      <c r="L34" s="12">
        <f t="shared" si="35"/>
        <v>8.5738115095913253E-2</v>
      </c>
      <c r="M34" s="2">
        <v>442</v>
      </c>
      <c r="N34" s="2">
        <v>450.6</v>
      </c>
      <c r="O34" s="2">
        <v>429</v>
      </c>
      <c r="P34" s="2">
        <v>518</v>
      </c>
      <c r="Q34" s="2">
        <v>460</v>
      </c>
      <c r="R34" s="2">
        <v>442</v>
      </c>
      <c r="S34" s="2">
        <v>440</v>
      </c>
      <c r="T34" s="2">
        <v>477</v>
      </c>
      <c r="U34" s="2">
        <v>360</v>
      </c>
      <c r="V34" s="2">
        <v>452</v>
      </c>
      <c r="W34" s="2">
        <v>442</v>
      </c>
      <c r="X34" s="2">
        <v>455</v>
      </c>
      <c r="Y34" s="2">
        <v>461</v>
      </c>
      <c r="Z34" s="2">
        <v>432</v>
      </c>
      <c r="AA34" s="2">
        <v>464</v>
      </c>
      <c r="AB34" s="2">
        <v>444</v>
      </c>
      <c r="AC34" s="2">
        <v>436</v>
      </c>
      <c r="AD34" s="2">
        <v>435</v>
      </c>
      <c r="AE34" s="2">
        <v>420</v>
      </c>
      <c r="AF34" s="2">
        <v>439</v>
      </c>
      <c r="AG34" s="2">
        <v>439</v>
      </c>
      <c r="AH34" s="2">
        <v>425</v>
      </c>
      <c r="AI34" s="2">
        <v>444</v>
      </c>
      <c r="AJ34" s="2">
        <v>435</v>
      </c>
      <c r="AK34" s="2">
        <v>429</v>
      </c>
      <c r="AL34" s="2">
        <v>443</v>
      </c>
      <c r="AM34" s="2">
        <v>407.3</v>
      </c>
      <c r="AN34" s="2">
        <v>452</v>
      </c>
      <c r="AO34" s="2">
        <v>457</v>
      </c>
    </row>
    <row r="35" spans="1:41">
      <c r="A35" s="2">
        <v>32.6</v>
      </c>
      <c r="B35" s="1" t="s">
        <v>71</v>
      </c>
      <c r="C35" s="3">
        <v>4370000</v>
      </c>
      <c r="D35" s="2">
        <v>290000</v>
      </c>
      <c r="E35" s="2">
        <v>102500</v>
      </c>
      <c r="F35" s="2">
        <f t="shared" si="32"/>
        <v>13.815878150694163</v>
      </c>
      <c r="G35" s="2">
        <v>82800</v>
      </c>
      <c r="H35" s="2">
        <f t="shared" si="33"/>
        <v>14.777797608424057</v>
      </c>
      <c r="I35" s="2">
        <v>83700</v>
      </c>
      <c r="J35" s="2">
        <f t="shared" si="34"/>
        <v>14.938425843298232</v>
      </c>
      <c r="K35" s="2">
        <v>505</v>
      </c>
      <c r="L35" s="12">
        <f t="shared" si="35"/>
        <v>8.4236864053377811E-2</v>
      </c>
      <c r="M35" s="2">
        <v>444.2</v>
      </c>
      <c r="N35" s="2">
        <v>448.1</v>
      </c>
      <c r="O35" s="2">
        <v>434.9</v>
      </c>
      <c r="P35" s="2">
        <v>530</v>
      </c>
      <c r="Q35" s="2">
        <v>470</v>
      </c>
      <c r="R35" s="2">
        <v>455</v>
      </c>
      <c r="S35" s="2">
        <v>448</v>
      </c>
      <c r="T35" s="2">
        <v>486</v>
      </c>
      <c r="U35" s="2">
        <v>369.3</v>
      </c>
      <c r="V35" s="2">
        <v>455</v>
      </c>
      <c r="W35" s="2">
        <v>449.5</v>
      </c>
      <c r="X35" s="2">
        <v>456.1</v>
      </c>
      <c r="Y35" s="2">
        <v>463</v>
      </c>
      <c r="Z35" s="2">
        <v>447</v>
      </c>
      <c r="AA35" s="2">
        <v>472</v>
      </c>
      <c r="AB35" s="2">
        <v>455</v>
      </c>
      <c r="AC35" s="2">
        <v>447</v>
      </c>
      <c r="AD35" s="2">
        <v>448</v>
      </c>
      <c r="AE35" s="2">
        <v>438</v>
      </c>
      <c r="AF35" s="2">
        <v>453</v>
      </c>
      <c r="AG35" s="2">
        <v>450</v>
      </c>
      <c r="AH35" s="2">
        <v>435</v>
      </c>
      <c r="AI35" s="2">
        <v>459</v>
      </c>
      <c r="AJ35" s="2">
        <v>447</v>
      </c>
      <c r="AK35" s="2">
        <v>440</v>
      </c>
      <c r="AL35" s="2">
        <v>452</v>
      </c>
      <c r="AM35" s="2">
        <v>418</v>
      </c>
      <c r="AN35" s="2">
        <v>464</v>
      </c>
      <c r="AO35" s="2">
        <v>469</v>
      </c>
    </row>
    <row r="36" spans="1:41">
      <c r="A36" s="2">
        <v>32.6</v>
      </c>
      <c r="B36" s="1" t="s">
        <v>72</v>
      </c>
      <c r="C36" s="3">
        <v>4290000</v>
      </c>
      <c r="D36" s="2">
        <v>170000</v>
      </c>
      <c r="E36" s="2">
        <v>99000</v>
      </c>
      <c r="F36" s="2">
        <f t="shared" si="32"/>
        <v>13.344116457743631</v>
      </c>
      <c r="G36" s="2">
        <v>84300</v>
      </c>
      <c r="H36" s="2">
        <f t="shared" si="33"/>
        <v>15.04551133321435</v>
      </c>
      <c r="I36" s="2">
        <v>80900</v>
      </c>
      <c r="J36" s="2">
        <f t="shared" si="34"/>
        <v>14.438693557023024</v>
      </c>
      <c r="K36" s="2">
        <v>467</v>
      </c>
      <c r="L36" s="12">
        <f t="shared" si="35"/>
        <v>7.7898248540450368E-2</v>
      </c>
      <c r="M36" s="2">
        <v>419.4</v>
      </c>
      <c r="N36" s="2">
        <v>424.3</v>
      </c>
      <c r="O36" s="2">
        <v>414.1</v>
      </c>
      <c r="P36" s="2">
        <v>497</v>
      </c>
      <c r="Q36" s="2">
        <v>441</v>
      </c>
      <c r="R36" s="2">
        <v>435</v>
      </c>
      <c r="S36" s="2">
        <v>431</v>
      </c>
      <c r="T36" s="2">
        <v>470</v>
      </c>
      <c r="U36" s="2">
        <v>369.2</v>
      </c>
      <c r="V36" s="2">
        <v>437</v>
      </c>
      <c r="W36" s="2">
        <v>426</v>
      </c>
      <c r="X36" s="2">
        <v>438</v>
      </c>
      <c r="Y36" s="2">
        <v>435</v>
      </c>
      <c r="Z36" s="2">
        <v>422</v>
      </c>
      <c r="AA36" s="2">
        <v>442</v>
      </c>
      <c r="AB36" s="2">
        <v>433</v>
      </c>
      <c r="AC36" s="2">
        <v>420</v>
      </c>
      <c r="AD36" s="2">
        <v>430</v>
      </c>
      <c r="AE36" s="2">
        <v>421</v>
      </c>
      <c r="AF36" s="2">
        <v>442</v>
      </c>
      <c r="AG36" s="2">
        <v>452</v>
      </c>
      <c r="AH36" s="2">
        <v>423</v>
      </c>
      <c r="AI36" s="2">
        <v>448</v>
      </c>
      <c r="AJ36" s="2">
        <v>433</v>
      </c>
      <c r="AK36" s="2">
        <v>421</v>
      </c>
      <c r="AL36" s="2">
        <v>439</v>
      </c>
      <c r="AM36" s="2">
        <v>406</v>
      </c>
      <c r="AN36" s="2">
        <v>446</v>
      </c>
      <c r="AO36" s="2">
        <v>452</v>
      </c>
    </row>
    <row r="37" spans="1:41">
      <c r="A37" s="2">
        <v>32.6</v>
      </c>
      <c r="B37" s="1" t="s">
        <v>73</v>
      </c>
      <c r="C37" s="3">
        <v>4510000</v>
      </c>
      <c r="D37" s="2">
        <v>290000</v>
      </c>
      <c r="E37" s="2">
        <v>100100</v>
      </c>
      <c r="F37" s="2">
        <f t="shared" si="32"/>
        <v>13.492384418385228</v>
      </c>
      <c r="G37" s="2">
        <v>85400</v>
      </c>
      <c r="H37" s="2">
        <f t="shared" si="33"/>
        <v>15.241834731393896</v>
      </c>
      <c r="I37" s="2">
        <v>82700</v>
      </c>
      <c r="J37" s="2">
        <f t="shared" si="34"/>
        <v>14.759950026771371</v>
      </c>
      <c r="K37" s="2">
        <v>489</v>
      </c>
      <c r="L37" s="12">
        <f t="shared" si="35"/>
        <v>8.1567973311092584E-2</v>
      </c>
      <c r="M37" s="2">
        <v>427.4</v>
      </c>
      <c r="N37" s="2">
        <v>430</v>
      </c>
      <c r="O37" s="2">
        <v>418</v>
      </c>
      <c r="P37" s="2">
        <v>517</v>
      </c>
      <c r="Q37" s="2">
        <v>459</v>
      </c>
      <c r="R37" s="2">
        <v>443</v>
      </c>
      <c r="S37" s="2">
        <v>429</v>
      </c>
      <c r="T37" s="2">
        <v>467</v>
      </c>
      <c r="U37" s="2">
        <v>363.6</v>
      </c>
      <c r="V37" s="2">
        <v>437</v>
      </c>
      <c r="W37" s="2">
        <v>430</v>
      </c>
      <c r="X37" s="2">
        <v>444</v>
      </c>
      <c r="Y37" s="2">
        <v>443</v>
      </c>
      <c r="Z37" s="2">
        <v>423</v>
      </c>
      <c r="AA37" s="2">
        <v>454</v>
      </c>
      <c r="AB37" s="2">
        <v>443</v>
      </c>
      <c r="AC37" s="2">
        <v>433</v>
      </c>
      <c r="AD37" s="2">
        <v>444</v>
      </c>
      <c r="AE37" s="2">
        <v>427</v>
      </c>
      <c r="AF37" s="2">
        <v>452</v>
      </c>
      <c r="AG37" s="2">
        <v>454</v>
      </c>
      <c r="AH37" s="2">
        <v>425</v>
      </c>
      <c r="AI37" s="2">
        <v>442</v>
      </c>
      <c r="AJ37" s="2">
        <v>438</v>
      </c>
      <c r="AK37" s="2">
        <v>428</v>
      </c>
      <c r="AL37" s="2">
        <v>442</v>
      </c>
      <c r="AM37" s="2">
        <v>410.4</v>
      </c>
      <c r="AN37" s="2">
        <v>459</v>
      </c>
      <c r="AO37" s="2">
        <v>458</v>
      </c>
    </row>
    <row r="38" spans="1:41">
      <c r="A38" s="2">
        <v>32.6</v>
      </c>
      <c r="B38" s="1" t="s">
        <v>74</v>
      </c>
      <c r="C38" s="3">
        <v>4420000</v>
      </c>
      <c r="D38" s="2">
        <v>220000</v>
      </c>
      <c r="E38" s="2">
        <v>99540</v>
      </c>
      <c r="F38" s="2">
        <f t="shared" si="32"/>
        <v>13.416902547513141</v>
      </c>
      <c r="G38" s="2">
        <v>83500</v>
      </c>
      <c r="H38" s="2">
        <f t="shared" si="33"/>
        <v>14.90273067999286</v>
      </c>
      <c r="I38" s="2">
        <v>83600</v>
      </c>
      <c r="J38" s="2">
        <f t="shared" si="34"/>
        <v>14.920578261645545</v>
      </c>
      <c r="K38" s="2">
        <v>485</v>
      </c>
      <c r="L38" s="12">
        <f t="shared" si="35"/>
        <v>8.0900750625521267E-2</v>
      </c>
      <c r="M38" s="2">
        <v>433.7</v>
      </c>
      <c r="N38" s="2">
        <v>437</v>
      </c>
      <c r="O38" s="2">
        <v>415.2</v>
      </c>
      <c r="P38" s="2">
        <v>501</v>
      </c>
      <c r="Q38" s="2">
        <v>447</v>
      </c>
      <c r="R38" s="2">
        <v>432</v>
      </c>
      <c r="S38" s="2">
        <v>429</v>
      </c>
      <c r="T38" s="2">
        <v>468</v>
      </c>
      <c r="U38" s="2">
        <v>359.1</v>
      </c>
      <c r="V38" s="2">
        <v>440</v>
      </c>
      <c r="W38" s="2">
        <v>433</v>
      </c>
      <c r="X38" s="2">
        <v>442</v>
      </c>
      <c r="Y38" s="2">
        <v>440</v>
      </c>
      <c r="Z38" s="2">
        <v>428</v>
      </c>
      <c r="AA38" s="2">
        <v>447</v>
      </c>
      <c r="AB38" s="2">
        <v>431</v>
      </c>
      <c r="AC38" s="2">
        <v>419</v>
      </c>
      <c r="AD38" s="2">
        <v>427</v>
      </c>
      <c r="AE38" s="2">
        <v>411</v>
      </c>
      <c r="AF38" s="2">
        <v>434</v>
      </c>
      <c r="AG38" s="2">
        <v>444</v>
      </c>
      <c r="AH38" s="2">
        <v>412</v>
      </c>
      <c r="AI38" s="2">
        <v>439</v>
      </c>
      <c r="AJ38" s="2">
        <v>433</v>
      </c>
      <c r="AK38" s="2">
        <v>426</v>
      </c>
      <c r="AL38" s="2">
        <v>445</v>
      </c>
      <c r="AM38" s="2">
        <v>403</v>
      </c>
      <c r="AN38" s="2">
        <v>447</v>
      </c>
      <c r="AO38" s="2">
        <v>452</v>
      </c>
    </row>
    <row r="39" spans="1:41">
      <c r="A39" s="2">
        <v>32.6</v>
      </c>
      <c r="B39" s="1" t="s">
        <v>75</v>
      </c>
      <c r="C39" s="3">
        <v>4420000</v>
      </c>
      <c r="D39" s="2">
        <v>230000</v>
      </c>
      <c r="E39" s="2">
        <v>100500</v>
      </c>
      <c r="F39" s="2">
        <f t="shared" si="32"/>
        <v>13.546300040436716</v>
      </c>
      <c r="G39" s="2">
        <v>85000</v>
      </c>
      <c r="H39" s="2">
        <f t="shared" si="33"/>
        <v>15.170444404783153</v>
      </c>
      <c r="I39" s="2">
        <v>84300</v>
      </c>
      <c r="J39" s="2">
        <f t="shared" si="34"/>
        <v>15.04551133321435</v>
      </c>
      <c r="K39" s="2">
        <v>483</v>
      </c>
      <c r="L39" s="12">
        <f t="shared" si="35"/>
        <v>8.0567139282735609E-2</v>
      </c>
      <c r="M39" s="2">
        <v>438.1</v>
      </c>
      <c r="N39" s="2">
        <v>436.2</v>
      </c>
      <c r="O39" s="2">
        <v>421</v>
      </c>
      <c r="P39" s="2">
        <v>519</v>
      </c>
      <c r="Q39" s="2">
        <v>460</v>
      </c>
      <c r="R39" s="2">
        <v>440</v>
      </c>
      <c r="S39" s="2">
        <v>440</v>
      </c>
      <c r="T39" s="2">
        <v>481</v>
      </c>
      <c r="U39" s="2">
        <v>364.6</v>
      </c>
      <c r="V39" s="2">
        <v>447</v>
      </c>
      <c r="W39" s="2">
        <v>445</v>
      </c>
      <c r="X39" s="2">
        <v>456</v>
      </c>
      <c r="Y39" s="2">
        <v>459</v>
      </c>
      <c r="Z39" s="2">
        <v>433</v>
      </c>
      <c r="AA39" s="2">
        <v>463</v>
      </c>
      <c r="AB39" s="2">
        <v>449</v>
      </c>
      <c r="AC39" s="2">
        <v>432</v>
      </c>
      <c r="AD39" s="2">
        <v>443</v>
      </c>
      <c r="AE39" s="2">
        <v>434</v>
      </c>
      <c r="AF39" s="2">
        <v>452</v>
      </c>
      <c r="AG39" s="2">
        <v>457</v>
      </c>
      <c r="AH39" s="2">
        <v>428</v>
      </c>
      <c r="AI39" s="2">
        <v>457</v>
      </c>
      <c r="AJ39" s="2">
        <v>448</v>
      </c>
      <c r="AK39" s="2">
        <v>442</v>
      </c>
      <c r="AL39" s="2">
        <v>455</v>
      </c>
      <c r="AM39" s="2">
        <v>414</v>
      </c>
      <c r="AN39" s="2">
        <v>462</v>
      </c>
      <c r="AO39" s="2">
        <v>466</v>
      </c>
    </row>
    <row r="40" spans="1:41">
      <c r="A40" s="2">
        <v>32.6</v>
      </c>
      <c r="B40" s="1" t="s">
        <v>76</v>
      </c>
      <c r="C40" s="3">
        <v>4440000</v>
      </c>
      <c r="D40" s="2">
        <v>280000</v>
      </c>
      <c r="E40" s="2">
        <v>98900</v>
      </c>
      <c r="F40" s="2">
        <f t="shared" si="32"/>
        <v>13.330637552230758</v>
      </c>
      <c r="G40" s="2">
        <v>84000</v>
      </c>
      <c r="H40" s="2">
        <f t="shared" si="33"/>
        <v>14.991968588256292</v>
      </c>
      <c r="I40" s="2">
        <v>81900</v>
      </c>
      <c r="J40" s="2">
        <f t="shared" si="34"/>
        <v>14.617169373549885</v>
      </c>
      <c r="K40" s="2">
        <v>476</v>
      </c>
      <c r="L40" s="12">
        <f t="shared" si="35"/>
        <v>7.9399499582985825E-2</v>
      </c>
      <c r="M40" s="2">
        <v>429.6</v>
      </c>
      <c r="N40" s="2">
        <v>436.4</v>
      </c>
      <c r="O40" s="2">
        <v>417.8</v>
      </c>
      <c r="P40" s="2">
        <v>520</v>
      </c>
      <c r="Q40" s="2">
        <v>455</v>
      </c>
      <c r="R40" s="2">
        <v>444</v>
      </c>
      <c r="S40" s="2">
        <v>437</v>
      </c>
      <c r="T40" s="2">
        <v>482</v>
      </c>
      <c r="U40" s="2">
        <v>359</v>
      </c>
      <c r="V40" s="2">
        <v>443</v>
      </c>
      <c r="W40" s="2">
        <v>433</v>
      </c>
      <c r="X40" s="2">
        <v>443</v>
      </c>
      <c r="Y40" s="2">
        <v>447</v>
      </c>
      <c r="Z40" s="2">
        <v>423</v>
      </c>
      <c r="AA40" s="2">
        <v>461</v>
      </c>
      <c r="AB40" s="2">
        <v>450</v>
      </c>
      <c r="AC40" s="2">
        <v>437</v>
      </c>
      <c r="AD40" s="2">
        <v>449</v>
      </c>
      <c r="AE40" s="2">
        <v>431</v>
      </c>
      <c r="AF40" s="2">
        <v>455</v>
      </c>
      <c r="AG40" s="2">
        <v>444</v>
      </c>
      <c r="AH40" s="2">
        <v>436</v>
      </c>
      <c r="AI40" s="2">
        <v>466</v>
      </c>
      <c r="AJ40" s="2">
        <v>433</v>
      </c>
      <c r="AK40" s="2">
        <v>422</v>
      </c>
      <c r="AL40" s="2">
        <v>441</v>
      </c>
      <c r="AM40" s="2">
        <v>396</v>
      </c>
      <c r="AN40" s="2">
        <v>457</v>
      </c>
      <c r="AO40" s="2">
        <v>456</v>
      </c>
    </row>
    <row r="41" spans="1:41">
      <c r="A41" s="2">
        <v>32.6</v>
      </c>
      <c r="B41" s="1" t="s">
        <v>77</v>
      </c>
      <c r="C41" s="3">
        <v>4520000</v>
      </c>
      <c r="D41" s="2">
        <v>250000</v>
      </c>
      <c r="E41" s="2">
        <v>98100</v>
      </c>
      <c r="F41" s="2">
        <f t="shared" si="32"/>
        <v>13.22280630812778</v>
      </c>
      <c r="G41" s="2">
        <v>86300</v>
      </c>
      <c r="H41" s="2">
        <f t="shared" si="33"/>
        <v>15.40246296626807</v>
      </c>
      <c r="I41" s="2">
        <v>82600</v>
      </c>
      <c r="J41" s="2">
        <f t="shared" si="34"/>
        <v>14.742102445118686</v>
      </c>
      <c r="K41" s="2">
        <v>469</v>
      </c>
      <c r="L41" s="12">
        <f t="shared" si="35"/>
        <v>7.8231859883236027E-2</v>
      </c>
      <c r="M41" s="2">
        <v>419.9</v>
      </c>
      <c r="N41" s="2">
        <v>425.4</v>
      </c>
      <c r="O41" s="2">
        <v>410.7</v>
      </c>
      <c r="P41" s="2">
        <v>510</v>
      </c>
      <c r="Q41" s="2">
        <v>455</v>
      </c>
      <c r="R41" s="2">
        <v>444</v>
      </c>
      <c r="S41" s="2">
        <v>435</v>
      </c>
      <c r="T41" s="2">
        <v>479</v>
      </c>
      <c r="U41" s="2">
        <v>360</v>
      </c>
      <c r="V41" s="2">
        <v>438</v>
      </c>
      <c r="W41" s="2">
        <v>425</v>
      </c>
      <c r="X41" s="2">
        <v>436</v>
      </c>
      <c r="Y41" s="2">
        <v>440</v>
      </c>
      <c r="Z41" s="2">
        <v>421</v>
      </c>
      <c r="AA41" s="2">
        <v>454</v>
      </c>
      <c r="AB41" s="2">
        <v>445</v>
      </c>
      <c r="AC41" s="2">
        <v>433</v>
      </c>
      <c r="AD41" s="2">
        <v>448</v>
      </c>
      <c r="AE41" s="2">
        <v>430</v>
      </c>
      <c r="AF41" s="2">
        <v>456</v>
      </c>
      <c r="AG41" s="2">
        <v>454</v>
      </c>
      <c r="AH41" s="2">
        <v>446</v>
      </c>
      <c r="AI41" s="2">
        <v>481</v>
      </c>
      <c r="AJ41" s="2">
        <v>439</v>
      </c>
      <c r="AK41" s="2">
        <v>425</v>
      </c>
      <c r="AL41" s="2">
        <v>439</v>
      </c>
      <c r="AM41" s="2">
        <v>404</v>
      </c>
      <c r="AN41" s="2">
        <v>457</v>
      </c>
      <c r="AO41" s="2">
        <v>460</v>
      </c>
    </row>
    <row r="42" spans="1:41">
      <c r="A42" s="2">
        <v>32.6</v>
      </c>
      <c r="B42" s="1" t="s">
        <v>78</v>
      </c>
      <c r="C42" s="3">
        <v>4580000</v>
      </c>
      <c r="D42" s="2">
        <v>200000</v>
      </c>
      <c r="E42" s="2">
        <v>98600</v>
      </c>
      <c r="F42" s="2">
        <f t="shared" si="32"/>
        <v>13.29020083569214</v>
      </c>
      <c r="G42" s="2">
        <v>83700</v>
      </c>
      <c r="H42" s="2">
        <f t="shared" si="33"/>
        <v>14.938425843298232</v>
      </c>
      <c r="I42" s="2">
        <v>82800</v>
      </c>
      <c r="J42" s="2">
        <f t="shared" si="34"/>
        <v>14.777797608424057</v>
      </c>
      <c r="K42" s="2">
        <v>458</v>
      </c>
      <c r="L42" s="12">
        <f t="shared" si="35"/>
        <v>7.6396997497914926E-2</v>
      </c>
      <c r="M42" s="2">
        <v>432</v>
      </c>
      <c r="N42" s="2">
        <v>429</v>
      </c>
      <c r="O42" s="2">
        <v>411</v>
      </c>
      <c r="P42" s="2">
        <v>506</v>
      </c>
      <c r="Q42" s="2">
        <v>446</v>
      </c>
      <c r="R42" s="2">
        <v>438</v>
      </c>
      <c r="S42" s="2">
        <v>437</v>
      </c>
      <c r="T42" s="2">
        <v>461</v>
      </c>
      <c r="U42" s="2">
        <v>364.7</v>
      </c>
      <c r="V42" s="2">
        <v>449</v>
      </c>
      <c r="W42" s="2">
        <v>433</v>
      </c>
      <c r="X42" s="2">
        <v>439</v>
      </c>
      <c r="Y42" s="2">
        <v>442</v>
      </c>
      <c r="Z42" s="2">
        <v>418</v>
      </c>
      <c r="AA42" s="2">
        <v>442</v>
      </c>
      <c r="AB42" s="2">
        <v>439</v>
      </c>
      <c r="AC42" s="2">
        <v>426</v>
      </c>
      <c r="AD42" s="2">
        <v>437</v>
      </c>
      <c r="AE42" s="2">
        <v>427</v>
      </c>
      <c r="AF42" s="2">
        <v>451</v>
      </c>
      <c r="AG42" s="2">
        <v>445</v>
      </c>
      <c r="AH42" s="2">
        <v>431</v>
      </c>
      <c r="AI42" s="2">
        <v>466</v>
      </c>
      <c r="AJ42" s="2">
        <v>440</v>
      </c>
      <c r="AK42" s="2">
        <v>434</v>
      </c>
      <c r="AL42" s="2">
        <v>452</v>
      </c>
      <c r="AM42" s="2">
        <v>411</v>
      </c>
      <c r="AN42" s="2">
        <v>457</v>
      </c>
      <c r="AO42" s="2">
        <v>463</v>
      </c>
    </row>
    <row r="43" spans="1:41">
      <c r="A43" s="2">
        <v>32.6</v>
      </c>
      <c r="B43" s="1" t="s">
        <v>79</v>
      </c>
      <c r="C43" s="3">
        <v>4500000</v>
      </c>
      <c r="D43" s="2">
        <v>270000</v>
      </c>
      <c r="E43" s="2">
        <v>102200</v>
      </c>
      <c r="F43" s="2">
        <f t="shared" si="32"/>
        <v>13.775441434155548</v>
      </c>
      <c r="G43" s="2">
        <v>84100</v>
      </c>
      <c r="H43" s="2">
        <f t="shared" si="33"/>
        <v>15.009816169908978</v>
      </c>
      <c r="I43" s="2">
        <v>83900</v>
      </c>
      <c r="J43" s="2">
        <f t="shared" si="34"/>
        <v>14.974121006603607</v>
      </c>
      <c r="K43" s="2">
        <v>471</v>
      </c>
      <c r="L43" s="12">
        <f t="shared" si="35"/>
        <v>7.8565471226021685E-2</v>
      </c>
      <c r="M43" s="2">
        <v>443</v>
      </c>
      <c r="N43" s="2">
        <v>442</v>
      </c>
      <c r="O43" s="2">
        <v>426.3</v>
      </c>
      <c r="P43" s="2">
        <v>517</v>
      </c>
      <c r="Q43" s="2">
        <v>459</v>
      </c>
      <c r="R43" s="2">
        <v>439</v>
      </c>
      <c r="S43" s="2">
        <v>436</v>
      </c>
      <c r="T43" s="2">
        <v>463</v>
      </c>
      <c r="U43" s="2">
        <v>365</v>
      </c>
      <c r="V43" s="2">
        <v>458</v>
      </c>
      <c r="W43" s="2">
        <v>441</v>
      </c>
      <c r="X43" s="2">
        <v>453</v>
      </c>
      <c r="Y43" s="2">
        <v>455</v>
      </c>
      <c r="Z43" s="2">
        <v>433</v>
      </c>
      <c r="AA43" s="2">
        <v>457</v>
      </c>
      <c r="AB43" s="2">
        <v>446</v>
      </c>
      <c r="AC43" s="2">
        <v>438</v>
      </c>
      <c r="AD43" s="2">
        <v>446</v>
      </c>
      <c r="AE43" s="2">
        <v>431</v>
      </c>
      <c r="AF43" s="2">
        <v>456</v>
      </c>
      <c r="AG43" s="2">
        <v>447</v>
      </c>
      <c r="AH43" s="2">
        <v>432</v>
      </c>
      <c r="AI43" s="2">
        <v>457</v>
      </c>
      <c r="AJ43" s="2">
        <v>449</v>
      </c>
      <c r="AK43" s="2">
        <v>440</v>
      </c>
      <c r="AL43" s="2">
        <v>463</v>
      </c>
      <c r="AM43" s="2">
        <v>429</v>
      </c>
      <c r="AN43" s="2">
        <v>469</v>
      </c>
      <c r="AO43" s="2">
        <v>477</v>
      </c>
    </row>
    <row r="44" spans="1:41">
      <c r="A44" s="2">
        <v>32.6</v>
      </c>
      <c r="B44" s="1" t="s">
        <v>80</v>
      </c>
      <c r="C44" s="3">
        <v>4430000</v>
      </c>
      <c r="D44" s="2">
        <v>200000</v>
      </c>
      <c r="E44" s="2">
        <v>99920</v>
      </c>
      <c r="F44" s="2">
        <f t="shared" si="32"/>
        <v>13.468122388462056</v>
      </c>
      <c r="G44" s="2">
        <v>83800</v>
      </c>
      <c r="H44" s="2">
        <f t="shared" si="33"/>
        <v>14.956273424950917</v>
      </c>
      <c r="I44" s="2">
        <v>84200</v>
      </c>
      <c r="J44" s="2">
        <f t="shared" si="34"/>
        <v>15.027663751561663</v>
      </c>
      <c r="K44" s="2">
        <v>483</v>
      </c>
      <c r="L44" s="12">
        <f t="shared" si="35"/>
        <v>8.0567139282735609E-2</v>
      </c>
      <c r="M44" s="2">
        <v>450</v>
      </c>
      <c r="N44" s="2">
        <v>452</v>
      </c>
      <c r="O44" s="2">
        <v>425</v>
      </c>
      <c r="P44" s="2">
        <v>525</v>
      </c>
      <c r="Q44" s="2">
        <v>464</v>
      </c>
      <c r="R44" s="2">
        <v>454</v>
      </c>
      <c r="S44" s="2">
        <v>456</v>
      </c>
      <c r="T44" s="2">
        <v>484</v>
      </c>
      <c r="U44" s="2">
        <v>374</v>
      </c>
      <c r="V44" s="2">
        <v>476</v>
      </c>
      <c r="W44" s="2">
        <v>459</v>
      </c>
      <c r="X44" s="2">
        <v>470</v>
      </c>
      <c r="Y44" s="2">
        <v>472</v>
      </c>
      <c r="Z44" s="2">
        <v>449</v>
      </c>
      <c r="AA44" s="2">
        <v>469</v>
      </c>
      <c r="AB44" s="2">
        <v>464</v>
      </c>
      <c r="AC44" s="2">
        <v>440</v>
      </c>
      <c r="AD44" s="2">
        <v>453</v>
      </c>
      <c r="AE44" s="2">
        <v>444</v>
      </c>
      <c r="AF44" s="2">
        <v>458</v>
      </c>
      <c r="AG44" s="2">
        <v>458</v>
      </c>
      <c r="AH44" s="2">
        <v>440</v>
      </c>
      <c r="AI44" s="2">
        <v>470</v>
      </c>
      <c r="AJ44" s="2">
        <v>448</v>
      </c>
      <c r="AK44" s="2">
        <v>446</v>
      </c>
      <c r="AL44" s="2">
        <v>462</v>
      </c>
      <c r="AM44" s="2">
        <v>419</v>
      </c>
      <c r="AN44" s="2">
        <v>463</v>
      </c>
      <c r="AO44" s="2">
        <v>462</v>
      </c>
    </row>
    <row r="45" spans="1:41">
      <c r="A45" s="2">
        <v>32.6</v>
      </c>
      <c r="B45" s="1" t="s">
        <v>81</v>
      </c>
      <c r="C45" s="3">
        <v>4550000</v>
      </c>
      <c r="D45" s="2">
        <v>280000</v>
      </c>
      <c r="E45" s="2">
        <v>98000</v>
      </c>
      <c r="F45" s="2">
        <f t="shared" si="32"/>
        <v>13.209327402614907</v>
      </c>
      <c r="G45" s="2">
        <v>81900</v>
      </c>
      <c r="H45" s="2">
        <f t="shared" si="33"/>
        <v>14.617169373549885</v>
      </c>
      <c r="I45" s="2">
        <v>80900</v>
      </c>
      <c r="J45" s="2">
        <f t="shared" si="34"/>
        <v>14.438693557023024</v>
      </c>
      <c r="K45" s="2">
        <v>461</v>
      </c>
      <c r="L45" s="12">
        <f t="shared" si="35"/>
        <v>7.6897414512093407E-2</v>
      </c>
      <c r="M45" s="2">
        <v>436</v>
      </c>
      <c r="N45" s="2">
        <v>437.7</v>
      </c>
      <c r="O45" s="2">
        <v>419</v>
      </c>
      <c r="P45" s="2">
        <v>515</v>
      </c>
      <c r="Q45" s="2">
        <v>461</v>
      </c>
      <c r="R45" s="2">
        <v>446</v>
      </c>
      <c r="S45" s="2">
        <v>438</v>
      </c>
      <c r="T45" s="2">
        <v>469</v>
      </c>
      <c r="U45" s="2">
        <v>354.3</v>
      </c>
      <c r="V45" s="2">
        <v>452</v>
      </c>
      <c r="W45" s="2">
        <v>433</v>
      </c>
      <c r="X45" s="2">
        <v>444</v>
      </c>
      <c r="Y45" s="2">
        <v>454</v>
      </c>
      <c r="Z45" s="2">
        <v>434</v>
      </c>
      <c r="AA45" s="2">
        <v>452</v>
      </c>
      <c r="AB45" s="2">
        <v>455</v>
      </c>
      <c r="AC45" s="2">
        <v>434</v>
      </c>
      <c r="AD45" s="2">
        <v>443</v>
      </c>
      <c r="AE45" s="2">
        <v>428</v>
      </c>
      <c r="AF45" s="2">
        <v>446</v>
      </c>
      <c r="AG45" s="2">
        <v>444</v>
      </c>
      <c r="AH45" s="2">
        <v>423</v>
      </c>
      <c r="AI45" s="2">
        <v>454</v>
      </c>
      <c r="AJ45" s="2">
        <v>425</v>
      </c>
      <c r="AK45" s="2">
        <v>421</v>
      </c>
      <c r="AL45" s="2">
        <v>439</v>
      </c>
      <c r="AM45" s="2">
        <v>399</v>
      </c>
      <c r="AN45" s="2">
        <v>455</v>
      </c>
      <c r="AO45" s="2">
        <v>463</v>
      </c>
    </row>
    <row r="46" spans="1:41">
      <c r="A46" s="2">
        <v>32.6</v>
      </c>
      <c r="B46" s="1" t="s">
        <v>82</v>
      </c>
      <c r="C46" s="3">
        <v>4430000</v>
      </c>
      <c r="D46" s="2">
        <v>270000</v>
      </c>
      <c r="E46" s="2">
        <v>99910</v>
      </c>
      <c r="F46" s="2">
        <f t="shared" si="32"/>
        <v>13.46677449791077</v>
      </c>
      <c r="G46" s="2">
        <v>80400</v>
      </c>
      <c r="H46" s="2">
        <f t="shared" si="33"/>
        <v>14.349455648759593</v>
      </c>
      <c r="I46" s="2">
        <v>80000</v>
      </c>
      <c r="J46" s="2">
        <f t="shared" si="34"/>
        <v>14.27806532214885</v>
      </c>
      <c r="K46" s="2">
        <v>443</v>
      </c>
      <c r="L46" s="12">
        <f t="shared" si="35"/>
        <v>7.3894912427022522E-2</v>
      </c>
      <c r="M46" s="2">
        <v>434.4</v>
      </c>
      <c r="N46" s="2">
        <v>434</v>
      </c>
      <c r="O46" s="2">
        <v>413.3</v>
      </c>
      <c r="P46" s="2">
        <v>517</v>
      </c>
      <c r="Q46" s="2">
        <v>451</v>
      </c>
      <c r="R46" s="2">
        <v>435</v>
      </c>
      <c r="S46" s="2">
        <v>428</v>
      </c>
      <c r="T46" s="2">
        <v>457</v>
      </c>
      <c r="U46" s="2">
        <v>357.4</v>
      </c>
      <c r="V46" s="2">
        <v>445</v>
      </c>
      <c r="W46" s="2">
        <v>435</v>
      </c>
      <c r="X46" s="2">
        <v>454</v>
      </c>
      <c r="Y46" s="2">
        <v>443</v>
      </c>
      <c r="Z46" s="2">
        <v>428</v>
      </c>
      <c r="AA46" s="2">
        <v>441</v>
      </c>
      <c r="AB46" s="2">
        <v>453</v>
      </c>
      <c r="AC46" s="2">
        <v>431</v>
      </c>
      <c r="AD46" s="2">
        <v>441</v>
      </c>
      <c r="AE46" s="2">
        <v>432</v>
      </c>
      <c r="AF46" s="2">
        <v>447</v>
      </c>
      <c r="AG46" s="2">
        <v>443</v>
      </c>
      <c r="AH46" s="2">
        <v>402</v>
      </c>
      <c r="AI46" s="2">
        <v>443</v>
      </c>
      <c r="AJ46" s="2">
        <v>430</v>
      </c>
      <c r="AK46" s="2">
        <v>424</v>
      </c>
      <c r="AL46" s="2">
        <v>453</v>
      </c>
      <c r="AM46" s="2">
        <v>414</v>
      </c>
      <c r="AN46" s="2">
        <v>461</v>
      </c>
      <c r="AO46" s="2">
        <v>462</v>
      </c>
    </row>
    <row r="47" spans="1:41">
      <c r="A47" s="2">
        <v>32.6</v>
      </c>
      <c r="B47" s="1" t="s">
        <v>83</v>
      </c>
      <c r="C47" s="3">
        <v>4480000</v>
      </c>
      <c r="D47" s="2">
        <v>280000</v>
      </c>
      <c r="E47" s="2">
        <v>102200</v>
      </c>
      <c r="F47" s="2">
        <f t="shared" si="32"/>
        <v>13.775441434155548</v>
      </c>
      <c r="G47" s="2">
        <v>82300</v>
      </c>
      <c r="H47" s="2">
        <f t="shared" si="33"/>
        <v>14.688559700160628</v>
      </c>
      <c r="I47" s="2">
        <v>81900</v>
      </c>
      <c r="J47" s="2">
        <f t="shared" si="34"/>
        <v>14.617169373549885</v>
      </c>
      <c r="K47" s="2">
        <v>460</v>
      </c>
      <c r="L47" s="12">
        <f t="shared" si="35"/>
        <v>7.673060884070057E-2</v>
      </c>
      <c r="M47" s="2">
        <v>441</v>
      </c>
      <c r="N47" s="2">
        <v>444</v>
      </c>
      <c r="O47" s="2">
        <v>425.7</v>
      </c>
      <c r="P47" s="2">
        <v>532</v>
      </c>
      <c r="Q47" s="2">
        <v>465</v>
      </c>
      <c r="R47" s="2">
        <v>454</v>
      </c>
      <c r="S47" s="2">
        <v>453</v>
      </c>
      <c r="T47" s="2">
        <v>475</v>
      </c>
      <c r="U47" s="2">
        <v>377</v>
      </c>
      <c r="V47" s="2">
        <v>467</v>
      </c>
      <c r="W47" s="2">
        <v>451</v>
      </c>
      <c r="X47" s="2">
        <v>471</v>
      </c>
      <c r="Y47" s="2">
        <v>461</v>
      </c>
      <c r="Z47" s="2">
        <v>445</v>
      </c>
      <c r="AA47" s="2">
        <v>466</v>
      </c>
      <c r="AB47" s="2">
        <v>469</v>
      </c>
      <c r="AC47" s="2">
        <v>443</v>
      </c>
      <c r="AD47" s="2">
        <v>458</v>
      </c>
      <c r="AE47" s="2">
        <v>452</v>
      </c>
      <c r="AF47" s="2">
        <v>458</v>
      </c>
      <c r="AG47" s="2">
        <v>461</v>
      </c>
      <c r="AH47" s="2">
        <v>426</v>
      </c>
      <c r="AI47" s="2">
        <v>461</v>
      </c>
      <c r="AJ47" s="2">
        <v>445</v>
      </c>
      <c r="AK47" s="2">
        <v>433</v>
      </c>
      <c r="AL47" s="2">
        <v>463</v>
      </c>
      <c r="AM47" s="2">
        <v>423</v>
      </c>
      <c r="AN47" s="2">
        <v>465</v>
      </c>
      <c r="AO47" s="2">
        <v>471</v>
      </c>
    </row>
    <row r="48" spans="1:41">
      <c r="A48" s="2">
        <v>32.6</v>
      </c>
      <c r="B48" s="1" t="s">
        <v>84</v>
      </c>
      <c r="C48" s="3">
        <v>4560000</v>
      </c>
      <c r="D48" s="2">
        <v>210000</v>
      </c>
      <c r="E48" s="2">
        <v>100700</v>
      </c>
      <c r="F48" s="2">
        <f t="shared" si="32"/>
        <v>13.573257851462461</v>
      </c>
      <c r="G48" s="2">
        <v>84400</v>
      </c>
      <c r="H48" s="2">
        <f t="shared" si="33"/>
        <v>15.063358914867035</v>
      </c>
      <c r="I48" s="2">
        <v>84200</v>
      </c>
      <c r="J48" s="2">
        <f t="shared" si="34"/>
        <v>15.027663751561663</v>
      </c>
      <c r="K48" s="2">
        <v>474</v>
      </c>
      <c r="L48" s="12">
        <f>(K48/0.5995)/10000</f>
        <v>7.9065888240200166E-2</v>
      </c>
      <c r="M48" s="2">
        <v>436.6</v>
      </c>
      <c r="N48" s="2">
        <v>436</v>
      </c>
      <c r="O48" s="2">
        <v>414.1</v>
      </c>
      <c r="P48" s="2">
        <v>515</v>
      </c>
      <c r="Q48" s="2">
        <v>451</v>
      </c>
      <c r="R48" s="2">
        <v>444</v>
      </c>
      <c r="S48" s="2">
        <v>449</v>
      </c>
      <c r="T48" s="2">
        <v>476</v>
      </c>
      <c r="U48" s="2">
        <v>376.3</v>
      </c>
      <c r="V48" s="2">
        <v>457</v>
      </c>
      <c r="W48" s="2">
        <v>444</v>
      </c>
      <c r="X48" s="2">
        <v>464</v>
      </c>
      <c r="Y48" s="2">
        <v>450</v>
      </c>
      <c r="Z48" s="2">
        <v>428</v>
      </c>
      <c r="AA48" s="2">
        <v>447</v>
      </c>
      <c r="AB48" s="2">
        <v>453</v>
      </c>
      <c r="AC48" s="2">
        <v>432</v>
      </c>
      <c r="AD48" s="2">
        <v>443</v>
      </c>
      <c r="AE48" s="2">
        <v>437</v>
      </c>
      <c r="AF48" s="2">
        <v>452</v>
      </c>
      <c r="AG48" s="2">
        <v>459</v>
      </c>
      <c r="AH48" s="2">
        <v>425</v>
      </c>
      <c r="AI48" s="2">
        <v>461</v>
      </c>
      <c r="AJ48" s="2">
        <v>450</v>
      </c>
      <c r="AK48" s="2">
        <v>439</v>
      </c>
      <c r="AL48" s="2">
        <v>466</v>
      </c>
      <c r="AM48" s="2">
        <v>418</v>
      </c>
      <c r="AN48" s="2">
        <v>451</v>
      </c>
      <c r="AO48" s="2">
        <v>452</v>
      </c>
    </row>
    <row r="49" spans="1:52" s="14" customFormat="1">
      <c r="B49" s="13" t="s">
        <v>60</v>
      </c>
      <c r="C49" s="14">
        <f>AVERAGE(C29:C48)</f>
        <v>4368000</v>
      </c>
      <c r="D49" s="14">
        <f t="shared" ref="D49:AO49" si="36">AVERAGE(D29:D48)</f>
        <v>249000</v>
      </c>
      <c r="E49" s="14">
        <f t="shared" si="36"/>
        <v>100628.5</v>
      </c>
      <c r="F49" s="14">
        <f t="shared" si="36"/>
        <v>13.563620434020757</v>
      </c>
      <c r="G49" s="14">
        <f t="shared" si="36"/>
        <v>84275</v>
      </c>
      <c r="H49" s="14">
        <f t="shared" si="36"/>
        <v>15.041049437801178</v>
      </c>
      <c r="I49" s="14">
        <f t="shared" si="36"/>
        <v>83215</v>
      </c>
      <c r="J49" s="14">
        <f t="shared" si="36"/>
        <v>14.851865072282706</v>
      </c>
      <c r="K49" s="14">
        <f t="shared" si="36"/>
        <v>489.5</v>
      </c>
      <c r="L49" s="14">
        <f t="shared" si="36"/>
        <v>8.1651376146788981E-2</v>
      </c>
      <c r="M49" s="14">
        <f t="shared" si="36"/>
        <v>438.12</v>
      </c>
      <c r="N49" s="14">
        <f t="shared" si="36"/>
        <v>442.24999999999989</v>
      </c>
      <c r="O49" s="14">
        <f t="shared" si="36"/>
        <v>423.67500000000001</v>
      </c>
      <c r="P49" s="14">
        <f t="shared" si="36"/>
        <v>521.85</v>
      </c>
      <c r="Q49" s="14">
        <f t="shared" si="36"/>
        <v>462.3</v>
      </c>
      <c r="R49" s="14">
        <f t="shared" si="36"/>
        <v>447.15</v>
      </c>
      <c r="S49" s="14">
        <f t="shared" si="36"/>
        <v>443.45</v>
      </c>
      <c r="T49" s="14">
        <f t="shared" si="36"/>
        <v>474.4</v>
      </c>
      <c r="U49" s="14">
        <f t="shared" si="36"/>
        <v>367.28499999999997</v>
      </c>
      <c r="V49" s="14">
        <f t="shared" si="36"/>
        <v>454.11499999999995</v>
      </c>
      <c r="W49" s="14">
        <f t="shared" si="36"/>
        <v>442.47500000000002</v>
      </c>
      <c r="X49" s="14">
        <f t="shared" si="36"/>
        <v>455.005</v>
      </c>
      <c r="Y49" s="14">
        <f t="shared" si="36"/>
        <v>454.85</v>
      </c>
      <c r="Z49" s="14">
        <f t="shared" si="36"/>
        <v>436.8</v>
      </c>
      <c r="AA49" s="14">
        <f t="shared" si="36"/>
        <v>458.7</v>
      </c>
      <c r="AB49" s="14">
        <f t="shared" si="36"/>
        <v>452.2</v>
      </c>
      <c r="AC49" s="14">
        <f t="shared" si="36"/>
        <v>438.3</v>
      </c>
      <c r="AD49" s="14">
        <f t="shared" si="36"/>
        <v>446.35</v>
      </c>
      <c r="AE49" s="14">
        <f t="shared" si="36"/>
        <v>435.15</v>
      </c>
      <c r="AF49" s="14">
        <f t="shared" si="36"/>
        <v>452.65</v>
      </c>
      <c r="AG49" s="14">
        <f t="shared" si="36"/>
        <v>450.2</v>
      </c>
      <c r="AH49" s="14">
        <f t="shared" si="36"/>
        <v>430.9</v>
      </c>
      <c r="AI49" s="14">
        <f t="shared" si="36"/>
        <v>457.8</v>
      </c>
      <c r="AJ49" s="14">
        <f t="shared" si="36"/>
        <v>442</v>
      </c>
      <c r="AK49" s="14">
        <f t="shared" si="36"/>
        <v>434.5</v>
      </c>
      <c r="AL49" s="14">
        <f t="shared" si="36"/>
        <v>452.69499999999999</v>
      </c>
      <c r="AM49" s="14">
        <f t="shared" si="36"/>
        <v>414.08500000000004</v>
      </c>
      <c r="AN49" s="14">
        <f t="shared" si="36"/>
        <v>458.9</v>
      </c>
      <c r="AO49" s="14">
        <f t="shared" si="36"/>
        <v>461.25</v>
      </c>
    </row>
    <row r="50" spans="1:52" s="14" customFormat="1">
      <c r="B50" s="13" t="s">
        <v>61</v>
      </c>
      <c r="C50" s="14">
        <f>STDEV(C29:C48)</f>
        <v>170867.75434143277</v>
      </c>
      <c r="D50" s="14">
        <f t="shared" ref="D50:AO50" si="37">STDEV(D29:D48)</f>
        <v>37261.52241430265</v>
      </c>
      <c r="E50" s="14">
        <f t="shared" si="37"/>
        <v>1758.6755632697309</v>
      </c>
      <c r="F50" s="14">
        <f t="shared" si="37"/>
        <v>0.23705021745110286</v>
      </c>
      <c r="G50" s="14">
        <f t="shared" si="37"/>
        <v>1662.2353370655653</v>
      </c>
      <c r="H50" s="14">
        <f t="shared" si="37"/>
        <v>0.29666880904257809</v>
      </c>
      <c r="I50" s="14">
        <f t="shared" si="37"/>
        <v>1506.2239296717437</v>
      </c>
      <c r="J50" s="14">
        <f t="shared" si="37"/>
        <v>0.26882454572046077</v>
      </c>
      <c r="K50" s="14">
        <f t="shared" si="37"/>
        <v>29.13941082379489</v>
      </c>
      <c r="L50" s="14">
        <f t="shared" si="37"/>
        <v>4.8606189864545263E-3</v>
      </c>
      <c r="M50" s="14">
        <f t="shared" si="37"/>
        <v>9.6889845212298518</v>
      </c>
      <c r="N50" s="14">
        <f t="shared" si="37"/>
        <v>11.673519290752852</v>
      </c>
      <c r="O50" s="14">
        <f t="shared" si="37"/>
        <v>9.5590615593130686</v>
      </c>
      <c r="P50" s="14">
        <f t="shared" si="37"/>
        <v>13.390000196533151</v>
      </c>
      <c r="Q50" s="14">
        <f t="shared" si="37"/>
        <v>12.933432808443637</v>
      </c>
      <c r="R50" s="14">
        <f t="shared" si="37"/>
        <v>9.6805556604327663</v>
      </c>
      <c r="S50" s="14">
        <f t="shared" si="37"/>
        <v>11.175513646502246</v>
      </c>
      <c r="T50" s="14">
        <f t="shared" si="37"/>
        <v>8.0485369706811341</v>
      </c>
      <c r="U50" s="14">
        <f t="shared" si="37"/>
        <v>7.4322395151479261</v>
      </c>
      <c r="V50" s="14">
        <f t="shared" si="37"/>
        <v>12.371923860095485</v>
      </c>
      <c r="W50" s="14">
        <f t="shared" si="37"/>
        <v>11.059022275238011</v>
      </c>
      <c r="X50" s="14">
        <f t="shared" si="37"/>
        <v>12.269366002579886</v>
      </c>
      <c r="Y50" s="14">
        <f t="shared" si="37"/>
        <v>12.027490441309419</v>
      </c>
      <c r="Z50" s="14">
        <f t="shared" si="37"/>
        <v>13.469654002511291</v>
      </c>
      <c r="AA50" s="14">
        <f t="shared" si="37"/>
        <v>11.383737245922822</v>
      </c>
      <c r="AB50" s="14">
        <f t="shared" si="37"/>
        <v>11.227785084099928</v>
      </c>
      <c r="AC50" s="14">
        <f t="shared" si="37"/>
        <v>11.154890360167975</v>
      </c>
      <c r="AD50" s="14">
        <f t="shared" si="37"/>
        <v>9.9486841235147097</v>
      </c>
      <c r="AE50" s="14">
        <f t="shared" si="37"/>
        <v>11.563440573407934</v>
      </c>
      <c r="AF50" s="14">
        <f t="shared" si="37"/>
        <v>7.7546251054654984</v>
      </c>
      <c r="AG50" s="14">
        <f t="shared" si="37"/>
        <v>6.0227638348623893</v>
      </c>
      <c r="AH50" s="14">
        <f t="shared" si="37"/>
        <v>12.834575013979766</v>
      </c>
      <c r="AI50" s="14">
        <f t="shared" si="37"/>
        <v>10.802533815827898</v>
      </c>
      <c r="AJ50" s="14">
        <f t="shared" si="37"/>
        <v>8.341399604887723</v>
      </c>
      <c r="AK50" s="14">
        <f t="shared" si="37"/>
        <v>9.4116389310481434</v>
      </c>
      <c r="AL50" s="14">
        <f t="shared" si="37"/>
        <v>9.6571476120022091</v>
      </c>
      <c r="AM50" s="14">
        <f t="shared" si="37"/>
        <v>9.3406454752729413</v>
      </c>
      <c r="AN50" s="14">
        <f t="shared" si="37"/>
        <v>6.4718011809940341</v>
      </c>
      <c r="AO50" s="14">
        <f t="shared" si="37"/>
        <v>8.2772675379461322</v>
      </c>
    </row>
    <row r="51" spans="1:52" customFormat="1">
      <c r="A51" s="4"/>
      <c r="B51" s="5" t="s">
        <v>62</v>
      </c>
      <c r="C51" s="17" t="s">
        <v>85</v>
      </c>
      <c r="D51" s="18"/>
      <c r="E51" s="9"/>
      <c r="F51" s="9">
        <v>13.4</v>
      </c>
      <c r="G51" s="9"/>
      <c r="H51" s="7">
        <v>11.4</v>
      </c>
      <c r="I51" s="9"/>
      <c r="J51" s="7">
        <v>11.4</v>
      </c>
      <c r="K51" s="9"/>
      <c r="L51" s="9"/>
      <c r="M51" s="8"/>
      <c r="N51" s="8">
        <v>433</v>
      </c>
      <c r="O51" s="8">
        <v>425.7</v>
      </c>
      <c r="P51" s="8">
        <v>515.5</v>
      </c>
      <c r="Q51" s="8">
        <v>462</v>
      </c>
      <c r="R51" s="8">
        <v>448</v>
      </c>
      <c r="S51" s="8"/>
      <c r="T51" s="8">
        <v>465</v>
      </c>
      <c r="U51" s="8">
        <v>366</v>
      </c>
      <c r="V51" s="8">
        <v>452</v>
      </c>
      <c r="W51" s="8">
        <v>440</v>
      </c>
      <c r="X51" s="8">
        <v>453</v>
      </c>
      <c r="Y51" s="8">
        <v>448</v>
      </c>
      <c r="Z51" s="8">
        <v>430</v>
      </c>
      <c r="AA51" s="8">
        <v>453</v>
      </c>
      <c r="AB51" s="8">
        <v>447</v>
      </c>
      <c r="AC51" s="8">
        <v>449</v>
      </c>
      <c r="AD51" s="8">
        <v>437</v>
      </c>
      <c r="AE51" s="8">
        <v>437</v>
      </c>
      <c r="AF51" s="8">
        <v>449</v>
      </c>
      <c r="AG51" s="8">
        <v>455</v>
      </c>
      <c r="AH51" s="8">
        <v>435</v>
      </c>
      <c r="AI51" s="8">
        <v>450</v>
      </c>
      <c r="AJ51" s="8">
        <v>439</v>
      </c>
      <c r="AK51" s="8">
        <v>435</v>
      </c>
      <c r="AL51" s="8">
        <v>446</v>
      </c>
      <c r="AM51" s="8">
        <v>426</v>
      </c>
      <c r="AN51" s="8">
        <v>457.2</v>
      </c>
      <c r="AO51" s="8">
        <v>461.5</v>
      </c>
      <c r="AP51" s="19"/>
      <c r="AQ51" s="19"/>
      <c r="AR51" s="19"/>
      <c r="AS51" s="4"/>
      <c r="AT51" s="4"/>
      <c r="AU51" s="4"/>
      <c r="AV51" s="4"/>
      <c r="AW51" s="4"/>
      <c r="AX51" s="4"/>
      <c r="AY51" s="4"/>
      <c r="AZ51" s="4"/>
    </row>
    <row r="52" spans="1:52" customFormat="1">
      <c r="A52" s="4"/>
      <c r="B52" s="5" t="s">
        <v>64</v>
      </c>
      <c r="C52" s="20"/>
      <c r="D52" s="18"/>
      <c r="E52" s="9"/>
      <c r="F52" s="9">
        <v>0.3</v>
      </c>
      <c r="G52" s="9"/>
      <c r="H52" s="7">
        <v>0.2</v>
      </c>
      <c r="I52" s="9"/>
      <c r="J52" s="7">
        <v>0.2</v>
      </c>
      <c r="K52" s="9"/>
      <c r="L52" s="9"/>
      <c r="M52" s="8"/>
      <c r="N52" s="8">
        <v>13</v>
      </c>
      <c r="O52" s="8">
        <v>1</v>
      </c>
      <c r="P52" s="8">
        <v>1</v>
      </c>
      <c r="Q52" s="8">
        <v>11</v>
      </c>
      <c r="R52" s="8">
        <v>9</v>
      </c>
      <c r="S52" s="8"/>
      <c r="T52" s="8">
        <v>34</v>
      </c>
      <c r="U52" s="8">
        <v>9</v>
      </c>
      <c r="V52" s="8">
        <v>9</v>
      </c>
      <c r="W52" s="8">
        <v>10</v>
      </c>
      <c r="X52" s="8">
        <v>8</v>
      </c>
      <c r="Y52" s="8">
        <v>7</v>
      </c>
      <c r="Z52" s="8">
        <v>8</v>
      </c>
      <c r="AA52" s="8">
        <v>11</v>
      </c>
      <c r="AB52" s="8">
        <v>12</v>
      </c>
      <c r="AC52" s="8">
        <v>12</v>
      </c>
      <c r="AD52" s="8">
        <v>9</v>
      </c>
      <c r="AE52" s="8">
        <v>11</v>
      </c>
      <c r="AF52" s="8">
        <v>12</v>
      </c>
      <c r="AG52" s="8">
        <v>14</v>
      </c>
      <c r="AH52" s="8">
        <v>10</v>
      </c>
      <c r="AI52" s="8">
        <v>9</v>
      </c>
      <c r="AJ52" s="8">
        <v>8</v>
      </c>
      <c r="AK52" s="8">
        <v>12</v>
      </c>
      <c r="AL52" s="8">
        <v>33</v>
      </c>
      <c r="AM52" s="8">
        <v>1</v>
      </c>
      <c r="AN52" s="8">
        <v>1</v>
      </c>
      <c r="AO52" s="8">
        <v>1</v>
      </c>
      <c r="AP52" s="19"/>
      <c r="AQ52" s="19"/>
      <c r="AR52" s="19"/>
      <c r="AS52" s="4"/>
      <c r="AT52" s="4"/>
      <c r="AU52" s="4"/>
      <c r="AV52" s="4"/>
      <c r="AW52" s="4"/>
      <c r="AX52" s="4"/>
      <c r="AY52" s="4"/>
      <c r="AZ52" s="4"/>
    </row>
    <row r="53" spans="1:52" customFormat="1">
      <c r="A53" s="4"/>
      <c r="B53" s="21" t="s">
        <v>86</v>
      </c>
      <c r="C53" s="22"/>
      <c r="D53" s="23"/>
      <c r="E53" s="24"/>
      <c r="F53" s="24"/>
      <c r="G53" s="24"/>
      <c r="H53" s="24"/>
      <c r="I53" s="24"/>
      <c r="J53" s="24"/>
      <c r="K53" s="24"/>
      <c r="L53" s="24"/>
      <c r="M53" s="24"/>
      <c r="N53" s="25">
        <f>N49/N51*100</f>
        <v>102.13625866050806</v>
      </c>
      <c r="O53" s="25">
        <f>O49/O51*100</f>
        <v>99.524312896405917</v>
      </c>
      <c r="P53" s="25">
        <f>P49/P51*100</f>
        <v>101.2318137730359</v>
      </c>
      <c r="Q53" s="25">
        <f>Q49/Q51*100</f>
        <v>100.06493506493506</v>
      </c>
      <c r="R53" s="25">
        <f>R49/R51*100</f>
        <v>99.810267857142847</v>
      </c>
      <c r="S53" s="25"/>
      <c r="T53" s="25">
        <f t="shared" ref="T53:AO53" si="38">T49/T51*100</f>
        <v>102.02150537634409</v>
      </c>
      <c r="U53" s="25">
        <f t="shared" si="38"/>
        <v>100.35109289617485</v>
      </c>
      <c r="V53" s="25">
        <f t="shared" si="38"/>
        <v>100.46792035398229</v>
      </c>
      <c r="W53" s="25">
        <f t="shared" si="38"/>
        <v>100.5625</v>
      </c>
      <c r="X53" s="25">
        <f t="shared" si="38"/>
        <v>100.44260485651213</v>
      </c>
      <c r="Y53" s="25">
        <f t="shared" si="38"/>
        <v>101.52901785714286</v>
      </c>
      <c r="Z53" s="25">
        <f t="shared" si="38"/>
        <v>101.58139534883721</v>
      </c>
      <c r="AA53" s="25">
        <f t="shared" si="38"/>
        <v>101.25827814569537</v>
      </c>
      <c r="AB53" s="25">
        <f t="shared" si="38"/>
        <v>101.16331096196866</v>
      </c>
      <c r="AC53" s="25">
        <f t="shared" si="38"/>
        <v>97.616926503340764</v>
      </c>
      <c r="AD53" s="25">
        <f t="shared" si="38"/>
        <v>102.13958810068651</v>
      </c>
      <c r="AE53" s="25">
        <f t="shared" si="38"/>
        <v>99.576659038901596</v>
      </c>
      <c r="AF53" s="25">
        <f t="shared" si="38"/>
        <v>100.81291759465478</v>
      </c>
      <c r="AG53" s="25">
        <f t="shared" si="38"/>
        <v>98.945054945054949</v>
      </c>
      <c r="AH53" s="25">
        <f t="shared" si="38"/>
        <v>99.05747126436782</v>
      </c>
      <c r="AI53" s="25">
        <f t="shared" si="38"/>
        <v>101.73333333333335</v>
      </c>
      <c r="AJ53" s="25">
        <f t="shared" si="38"/>
        <v>100.68337129840548</v>
      </c>
      <c r="AK53" s="25">
        <f t="shared" si="38"/>
        <v>99.885057471264375</v>
      </c>
      <c r="AL53" s="25">
        <f t="shared" si="38"/>
        <v>101.50112107623319</v>
      </c>
      <c r="AM53" s="25">
        <f t="shared" si="38"/>
        <v>97.203051643192495</v>
      </c>
      <c r="AN53" s="25">
        <f t="shared" si="38"/>
        <v>100.37182852143482</v>
      </c>
      <c r="AO53" s="25">
        <f t="shared" si="38"/>
        <v>99.945828819068254</v>
      </c>
    </row>
    <row r="55" spans="1:52">
      <c r="A55" s="2">
        <v>35.299999999999997</v>
      </c>
      <c r="B55" s="1" t="s">
        <v>87</v>
      </c>
      <c r="C55" s="3">
        <v>2750000</v>
      </c>
      <c r="D55" s="2">
        <v>520000</v>
      </c>
      <c r="E55" s="2">
        <v>30750</v>
      </c>
      <c r="F55" s="2">
        <f>(E55/0.7419)/10000</f>
        <v>4.1447634452082491</v>
      </c>
      <c r="G55" s="2">
        <v>11590</v>
      </c>
      <c r="H55" s="2">
        <f>(G55/0.5603)/10000</f>
        <v>2.0685347135463146</v>
      </c>
      <c r="I55" s="2">
        <v>11680</v>
      </c>
      <c r="J55" s="2">
        <f>(I55/0.5603)/10000</f>
        <v>2.0845975370337317</v>
      </c>
      <c r="K55" s="2">
        <v>1546</v>
      </c>
      <c r="L55" s="2">
        <f>(K55/0.5995)/10000</f>
        <v>0.25788156797331108</v>
      </c>
      <c r="M55" s="2">
        <v>41</v>
      </c>
      <c r="N55" s="2">
        <v>22.9</v>
      </c>
      <c r="O55" s="2">
        <v>62.6</v>
      </c>
      <c r="P55" s="2">
        <v>89.2</v>
      </c>
      <c r="Q55" s="2">
        <v>86.5</v>
      </c>
      <c r="R55" s="2">
        <v>475</v>
      </c>
      <c r="S55" s="2">
        <v>479</v>
      </c>
      <c r="T55" s="2">
        <v>55.2</v>
      </c>
      <c r="U55" s="2">
        <v>1.04</v>
      </c>
      <c r="V55" s="2">
        <v>526</v>
      </c>
      <c r="W55" s="2">
        <v>53.7</v>
      </c>
      <c r="X55" s="2">
        <v>112.2</v>
      </c>
      <c r="Y55" s="2">
        <v>13.3</v>
      </c>
      <c r="Z55" s="2">
        <v>57.7</v>
      </c>
      <c r="AA55" s="2">
        <v>14.5</v>
      </c>
      <c r="AB55" s="2">
        <v>2.37</v>
      </c>
      <c r="AC55" s="2">
        <v>13.7</v>
      </c>
      <c r="AD55" s="2">
        <v>2.3199999999999998</v>
      </c>
      <c r="AE55" s="2">
        <v>14.5</v>
      </c>
      <c r="AF55" s="2">
        <v>3.21</v>
      </c>
      <c r="AG55" s="2">
        <v>9.6</v>
      </c>
      <c r="AH55" s="2">
        <v>1.5</v>
      </c>
      <c r="AI55" s="2">
        <v>9.9</v>
      </c>
      <c r="AJ55" s="2">
        <v>1.41</v>
      </c>
      <c r="AK55" s="2">
        <v>12.3</v>
      </c>
      <c r="AL55" s="2">
        <v>3.35</v>
      </c>
      <c r="AM55" s="2">
        <v>5.14</v>
      </c>
      <c r="AN55" s="2">
        <v>6.57</v>
      </c>
      <c r="AO55" s="2">
        <v>1.97</v>
      </c>
    </row>
    <row r="56" spans="1:52">
      <c r="A56" s="2">
        <v>35.299999999999997</v>
      </c>
      <c r="B56" s="1" t="s">
        <v>88</v>
      </c>
      <c r="C56" s="3">
        <v>3440000</v>
      </c>
      <c r="D56" s="2">
        <v>190000</v>
      </c>
      <c r="E56" s="2">
        <v>29980</v>
      </c>
      <c r="F56" s="2">
        <f t="shared" ref="F56:F66" si="39">(E56/0.7419)/10000</f>
        <v>4.0409758727591321</v>
      </c>
      <c r="G56" s="2">
        <v>11600</v>
      </c>
      <c r="H56" s="2">
        <f t="shared" ref="H56:H66" si="40">(G56/0.5603)/10000</f>
        <v>2.0703194717115831</v>
      </c>
      <c r="I56" s="2">
        <v>11590</v>
      </c>
      <c r="J56" s="2">
        <f t="shared" ref="J56:J66" si="41">(I56/0.5603)/10000</f>
        <v>2.0685347135463146</v>
      </c>
      <c r="K56" s="2">
        <v>1548</v>
      </c>
      <c r="L56" s="2">
        <f t="shared" ref="L56:L66" si="42">(K56/0.5995)/10000</f>
        <v>0.25821517931609672</v>
      </c>
      <c r="M56" s="2">
        <v>44.5</v>
      </c>
      <c r="N56" s="2">
        <v>22.5</v>
      </c>
      <c r="O56" s="2">
        <v>65.5</v>
      </c>
      <c r="P56" s="2">
        <v>93.3</v>
      </c>
      <c r="Q56" s="2">
        <v>90.7</v>
      </c>
      <c r="R56" s="2">
        <v>479</v>
      </c>
      <c r="S56" s="2">
        <v>487</v>
      </c>
      <c r="T56" s="2">
        <v>55.8</v>
      </c>
      <c r="U56" s="2">
        <v>1.0129999999999999</v>
      </c>
      <c r="V56" s="2">
        <v>542</v>
      </c>
      <c r="W56" s="2">
        <v>54.7</v>
      </c>
      <c r="X56" s="2">
        <v>119.2</v>
      </c>
      <c r="Y56" s="2">
        <v>14.36</v>
      </c>
      <c r="Z56" s="2">
        <v>60.6</v>
      </c>
      <c r="AA56" s="2">
        <v>13.2</v>
      </c>
      <c r="AB56" s="2">
        <v>2.64</v>
      </c>
      <c r="AC56" s="2">
        <v>14.2</v>
      </c>
      <c r="AD56" s="2">
        <v>2.33</v>
      </c>
      <c r="AE56" s="2">
        <v>15.9</v>
      </c>
      <c r="AF56" s="2">
        <v>3.34</v>
      </c>
      <c r="AG56" s="2">
        <v>10.3</v>
      </c>
      <c r="AH56" s="2">
        <v>1.7</v>
      </c>
      <c r="AI56" s="2">
        <v>10.3</v>
      </c>
      <c r="AJ56" s="2">
        <v>1.5</v>
      </c>
      <c r="AK56" s="2">
        <v>13.5</v>
      </c>
      <c r="AL56" s="2">
        <v>3.27</v>
      </c>
      <c r="AM56" s="2">
        <v>5.38</v>
      </c>
      <c r="AN56" s="2">
        <v>7.19</v>
      </c>
      <c r="AO56" s="2">
        <v>2.2799999999999998</v>
      </c>
    </row>
    <row r="57" spans="1:52">
      <c r="A57" s="2">
        <v>35.299999999999997</v>
      </c>
      <c r="B57" s="1" t="s">
        <v>89</v>
      </c>
      <c r="C57" s="3">
        <v>3430000</v>
      </c>
      <c r="D57" s="2">
        <v>120000</v>
      </c>
      <c r="E57" s="2">
        <v>29570</v>
      </c>
      <c r="F57" s="2">
        <f t="shared" si="39"/>
        <v>3.9857123601563553</v>
      </c>
      <c r="G57" s="2">
        <v>11100</v>
      </c>
      <c r="H57" s="2">
        <f t="shared" si="40"/>
        <v>1.9810815634481529</v>
      </c>
      <c r="I57" s="2">
        <v>11470</v>
      </c>
      <c r="J57" s="2">
        <f t="shared" si="41"/>
        <v>2.0471176155630912</v>
      </c>
      <c r="K57" s="2">
        <v>1551</v>
      </c>
      <c r="L57" s="2">
        <f t="shared" si="42"/>
        <v>0.25871559633027524</v>
      </c>
      <c r="M57" s="2">
        <v>43.6</v>
      </c>
      <c r="N57" s="2">
        <v>22.5</v>
      </c>
      <c r="O57" s="2">
        <v>64</v>
      </c>
      <c r="P57" s="2">
        <v>90.3</v>
      </c>
      <c r="Q57" s="2">
        <v>87.9</v>
      </c>
      <c r="R57" s="2">
        <v>469</v>
      </c>
      <c r="S57" s="2">
        <v>467</v>
      </c>
      <c r="T57" s="2">
        <v>54.3</v>
      </c>
      <c r="U57" s="2">
        <v>1.0489999999999999</v>
      </c>
      <c r="V57" s="2">
        <v>511</v>
      </c>
      <c r="W57" s="2">
        <v>51.9</v>
      </c>
      <c r="X57" s="2">
        <v>113.3</v>
      </c>
      <c r="Y57" s="2">
        <v>13.59</v>
      </c>
      <c r="Z57" s="2">
        <v>57.8</v>
      </c>
      <c r="AA57" s="2">
        <v>13.3</v>
      </c>
      <c r="AB57" s="2">
        <v>2.72</v>
      </c>
      <c r="AC57" s="2">
        <v>13.4</v>
      </c>
      <c r="AD57" s="2">
        <v>2.1800000000000002</v>
      </c>
      <c r="AE57" s="2">
        <v>14.9</v>
      </c>
      <c r="AF57" s="2">
        <v>3.16</v>
      </c>
      <c r="AG57" s="2">
        <v>9.24</v>
      </c>
      <c r="AH57" s="2">
        <v>1.41</v>
      </c>
      <c r="AI57" s="2">
        <v>9.1</v>
      </c>
      <c r="AJ57" s="2">
        <v>1.39</v>
      </c>
      <c r="AK57" s="2">
        <v>13.9</v>
      </c>
      <c r="AL57" s="2">
        <v>3.28</v>
      </c>
      <c r="AM57" s="2">
        <v>4.93</v>
      </c>
      <c r="AN57" s="2">
        <v>6.64</v>
      </c>
      <c r="AO57" s="2">
        <v>2.08</v>
      </c>
    </row>
    <row r="58" spans="1:52">
      <c r="A58" s="2">
        <v>35.299999999999997</v>
      </c>
      <c r="B58" s="1" t="s">
        <v>90</v>
      </c>
      <c r="C58" s="3">
        <v>3580000</v>
      </c>
      <c r="D58" s="2">
        <v>190000</v>
      </c>
      <c r="E58" s="2">
        <v>32640</v>
      </c>
      <c r="F58" s="2">
        <f t="shared" si="39"/>
        <v>4.3995147594015371</v>
      </c>
      <c r="G58" s="2">
        <v>11820</v>
      </c>
      <c r="H58" s="2">
        <f t="shared" si="40"/>
        <v>2.1095841513474922</v>
      </c>
      <c r="I58" s="2">
        <v>11310</v>
      </c>
      <c r="J58" s="2">
        <f t="shared" si="41"/>
        <v>2.0185614849187936</v>
      </c>
      <c r="K58" s="2">
        <v>1460</v>
      </c>
      <c r="L58" s="2">
        <f t="shared" si="42"/>
        <v>0.24353628023352794</v>
      </c>
      <c r="M58" s="2">
        <v>44.6</v>
      </c>
      <c r="N58" s="2">
        <v>23</v>
      </c>
      <c r="O58" s="2">
        <v>63.7</v>
      </c>
      <c r="P58" s="2">
        <v>89.6</v>
      </c>
      <c r="Q58" s="2">
        <v>84.4</v>
      </c>
      <c r="R58" s="2">
        <v>461</v>
      </c>
      <c r="S58" s="2">
        <v>458</v>
      </c>
      <c r="T58" s="2">
        <v>54.5</v>
      </c>
      <c r="U58" s="2">
        <v>0.93</v>
      </c>
      <c r="V58" s="2">
        <v>514</v>
      </c>
      <c r="W58" s="2">
        <v>52.5</v>
      </c>
      <c r="X58" s="2">
        <v>112.3</v>
      </c>
      <c r="Y58" s="2">
        <v>13.84</v>
      </c>
      <c r="Z58" s="2">
        <v>57.5</v>
      </c>
      <c r="AA58" s="2">
        <v>13.3</v>
      </c>
      <c r="AB58" s="2">
        <v>2.2200000000000002</v>
      </c>
      <c r="AC58" s="2">
        <v>13.5</v>
      </c>
      <c r="AD58" s="2">
        <v>2.29</v>
      </c>
      <c r="AE58" s="2">
        <v>15.2</v>
      </c>
      <c r="AF58" s="2">
        <v>3.22</v>
      </c>
      <c r="AG58" s="2">
        <v>9.44</v>
      </c>
      <c r="AH58" s="2">
        <v>1.31</v>
      </c>
      <c r="AI58" s="2">
        <v>9.8000000000000007</v>
      </c>
      <c r="AJ58" s="2">
        <v>1.45</v>
      </c>
      <c r="AK58" s="2">
        <v>13.45</v>
      </c>
      <c r="AL58" s="2">
        <v>3.19</v>
      </c>
      <c r="AM58" s="2">
        <v>5.0599999999999996</v>
      </c>
      <c r="AN58" s="2">
        <v>7.15</v>
      </c>
      <c r="AO58" s="2">
        <v>2.2400000000000002</v>
      </c>
    </row>
    <row r="59" spans="1:52">
      <c r="A59" s="2">
        <v>35.299999999999997</v>
      </c>
      <c r="B59" s="1" t="s">
        <v>91</v>
      </c>
      <c r="C59" s="3">
        <v>3520000</v>
      </c>
      <c r="D59" s="2">
        <v>180000</v>
      </c>
      <c r="E59" s="2">
        <v>31830</v>
      </c>
      <c r="F59" s="2">
        <f t="shared" si="39"/>
        <v>4.2903356247472706</v>
      </c>
      <c r="G59" s="2">
        <v>12200</v>
      </c>
      <c r="H59" s="2">
        <f t="shared" si="40"/>
        <v>2.1774049616276994</v>
      </c>
      <c r="I59" s="2">
        <v>11450</v>
      </c>
      <c r="J59" s="2">
        <f t="shared" si="41"/>
        <v>2.0435480992325536</v>
      </c>
      <c r="K59" s="2">
        <v>1472</v>
      </c>
      <c r="L59" s="2">
        <f t="shared" si="42"/>
        <v>0.24553794829024186</v>
      </c>
      <c r="M59" s="2">
        <v>45.9</v>
      </c>
      <c r="N59" s="2">
        <v>21.7</v>
      </c>
      <c r="O59" s="2">
        <v>65.3</v>
      </c>
      <c r="P59" s="2">
        <v>88.5</v>
      </c>
      <c r="Q59" s="2">
        <v>85.6</v>
      </c>
      <c r="R59" s="2">
        <v>464</v>
      </c>
      <c r="S59" s="2">
        <v>465</v>
      </c>
      <c r="T59" s="2">
        <v>54.6</v>
      </c>
      <c r="U59" s="2">
        <v>0.98599999999999999</v>
      </c>
      <c r="V59" s="2">
        <v>521</v>
      </c>
      <c r="W59" s="2">
        <v>52.7</v>
      </c>
      <c r="X59" s="2">
        <v>114.6</v>
      </c>
      <c r="Y59" s="2">
        <v>13.79</v>
      </c>
      <c r="Z59" s="2">
        <v>56.7</v>
      </c>
      <c r="AA59" s="2">
        <v>13.5</v>
      </c>
      <c r="AB59" s="2">
        <v>2.52</v>
      </c>
      <c r="AC59" s="2">
        <v>13</v>
      </c>
      <c r="AD59" s="2">
        <v>2.33</v>
      </c>
      <c r="AE59" s="2">
        <v>15.1</v>
      </c>
      <c r="AF59" s="2">
        <v>3.19</v>
      </c>
      <c r="AG59" s="2">
        <v>9.0399999999999991</v>
      </c>
      <c r="AH59" s="2">
        <v>1.36</v>
      </c>
      <c r="AI59" s="2">
        <v>9.3699999999999992</v>
      </c>
      <c r="AJ59" s="2">
        <v>1.54</v>
      </c>
      <c r="AK59" s="2">
        <v>13.5</v>
      </c>
      <c r="AL59" s="2">
        <v>3.49</v>
      </c>
      <c r="AM59" s="2">
        <v>5.21</v>
      </c>
      <c r="AN59" s="2">
        <v>7.06</v>
      </c>
      <c r="AO59" s="2">
        <v>2.2400000000000002</v>
      </c>
    </row>
    <row r="60" spans="1:52">
      <c r="A60" s="2">
        <v>35.299999999999997</v>
      </c>
      <c r="B60" s="1" t="s">
        <v>92</v>
      </c>
      <c r="C60" s="3">
        <v>3630000</v>
      </c>
      <c r="D60" s="2">
        <v>160000</v>
      </c>
      <c r="E60" s="2">
        <v>30450</v>
      </c>
      <c r="F60" s="2">
        <f t="shared" si="39"/>
        <v>4.1043267286696317</v>
      </c>
      <c r="G60" s="2">
        <v>11360</v>
      </c>
      <c r="H60" s="2">
        <f t="shared" si="40"/>
        <v>2.0274852757451365</v>
      </c>
      <c r="I60" s="2">
        <v>11290</v>
      </c>
      <c r="J60" s="2">
        <f t="shared" si="41"/>
        <v>2.0149919685882565</v>
      </c>
      <c r="K60" s="2">
        <v>1423</v>
      </c>
      <c r="L60" s="2">
        <f t="shared" si="42"/>
        <v>0.23736447039199335</v>
      </c>
      <c r="M60" s="2">
        <v>45</v>
      </c>
      <c r="N60" s="2">
        <v>21.7</v>
      </c>
      <c r="O60" s="2">
        <v>60.5</v>
      </c>
      <c r="P60" s="2">
        <v>86.6</v>
      </c>
      <c r="Q60" s="2">
        <v>84.1</v>
      </c>
      <c r="R60" s="2">
        <v>457</v>
      </c>
      <c r="S60" s="2">
        <v>450</v>
      </c>
      <c r="T60" s="2">
        <v>54.9</v>
      </c>
      <c r="U60" s="2">
        <v>1</v>
      </c>
      <c r="V60" s="2">
        <v>503</v>
      </c>
      <c r="W60" s="2">
        <v>51.1</v>
      </c>
      <c r="X60" s="2">
        <v>107.7</v>
      </c>
      <c r="Y60" s="2">
        <v>13.32</v>
      </c>
      <c r="Z60" s="2">
        <v>54.9</v>
      </c>
      <c r="AA60" s="2">
        <v>13.1</v>
      </c>
      <c r="AB60" s="2">
        <v>2.3199999999999998</v>
      </c>
      <c r="AC60" s="2">
        <v>12.9</v>
      </c>
      <c r="AD60" s="2">
        <v>2.2200000000000002</v>
      </c>
      <c r="AE60" s="2">
        <v>15.1</v>
      </c>
      <c r="AF60" s="2">
        <v>3.16</v>
      </c>
      <c r="AG60" s="2">
        <v>8.15</v>
      </c>
      <c r="AH60" s="2">
        <v>1.34</v>
      </c>
      <c r="AI60" s="2">
        <v>9.6999999999999993</v>
      </c>
      <c r="AJ60" s="2">
        <v>1.33</v>
      </c>
      <c r="AK60" s="2">
        <v>12.7</v>
      </c>
      <c r="AL60" s="2">
        <v>3.12</v>
      </c>
      <c r="AM60" s="2">
        <v>4.66</v>
      </c>
      <c r="AN60" s="2">
        <v>6.86</v>
      </c>
      <c r="AO60" s="2">
        <v>2.06</v>
      </c>
    </row>
    <row r="61" spans="1:52">
      <c r="A61" s="2">
        <v>35.299999999999997</v>
      </c>
      <c r="B61" s="1" t="s">
        <v>93</v>
      </c>
      <c r="C61" s="3">
        <v>3660000</v>
      </c>
      <c r="D61" s="2">
        <v>190000</v>
      </c>
      <c r="E61" s="2">
        <v>31340</v>
      </c>
      <c r="F61" s="2">
        <f t="shared" si="39"/>
        <v>4.2242889877341954</v>
      </c>
      <c r="G61" s="2">
        <v>11350</v>
      </c>
      <c r="H61" s="2">
        <f t="shared" si="40"/>
        <v>2.0257005175798679</v>
      </c>
      <c r="I61" s="2">
        <v>11420</v>
      </c>
      <c r="J61" s="2">
        <f t="shared" si="41"/>
        <v>2.0381938247367479</v>
      </c>
      <c r="K61" s="2">
        <v>1415</v>
      </c>
      <c r="L61" s="2">
        <f t="shared" si="42"/>
        <v>0.23603002502085069</v>
      </c>
      <c r="M61" s="2">
        <v>48.1</v>
      </c>
      <c r="N61" s="2">
        <v>21.5</v>
      </c>
      <c r="O61" s="2">
        <v>61.7</v>
      </c>
      <c r="P61" s="2">
        <v>88.1</v>
      </c>
      <c r="Q61" s="2">
        <v>84.9</v>
      </c>
      <c r="R61" s="2">
        <v>456</v>
      </c>
      <c r="S61" s="2">
        <v>453</v>
      </c>
      <c r="T61" s="2">
        <v>54.7</v>
      </c>
      <c r="U61" s="2">
        <v>1.04</v>
      </c>
      <c r="V61" s="2">
        <v>513</v>
      </c>
      <c r="W61" s="2">
        <v>50.9</v>
      </c>
      <c r="X61" s="2">
        <v>112</v>
      </c>
      <c r="Y61" s="2">
        <v>13.53</v>
      </c>
      <c r="Z61" s="2">
        <v>55</v>
      </c>
      <c r="AA61" s="2">
        <v>13.8</v>
      </c>
      <c r="AB61" s="2">
        <v>2.54</v>
      </c>
      <c r="AC61" s="2">
        <v>13.1</v>
      </c>
      <c r="AD61" s="2">
        <v>2.2999999999999998</v>
      </c>
      <c r="AE61" s="2">
        <v>13.8</v>
      </c>
      <c r="AF61" s="2">
        <v>3.12</v>
      </c>
      <c r="AG61" s="2">
        <v>9.84</v>
      </c>
      <c r="AH61" s="2">
        <v>1.41</v>
      </c>
      <c r="AI61" s="2">
        <v>9.73</v>
      </c>
      <c r="AJ61" s="2">
        <v>1.38</v>
      </c>
      <c r="AK61" s="2">
        <v>13</v>
      </c>
      <c r="AL61" s="2">
        <v>3.33</v>
      </c>
      <c r="AM61" s="2">
        <v>5.04</v>
      </c>
      <c r="AN61" s="2">
        <v>6.79</v>
      </c>
      <c r="AO61" s="2">
        <v>2.16</v>
      </c>
    </row>
    <row r="62" spans="1:52">
      <c r="A62" s="2">
        <v>35.299999999999997</v>
      </c>
      <c r="B62" s="1" t="s">
        <v>94</v>
      </c>
      <c r="C62" s="3">
        <v>3810000</v>
      </c>
      <c r="D62" s="2">
        <v>160000</v>
      </c>
      <c r="E62" s="2">
        <v>30030</v>
      </c>
      <c r="F62" s="2">
        <f t="shared" si="39"/>
        <v>4.0477153255155685</v>
      </c>
      <c r="G62" s="2">
        <v>11120</v>
      </c>
      <c r="H62" s="2">
        <f t="shared" si="40"/>
        <v>1.9846510797786898</v>
      </c>
      <c r="I62" s="2">
        <v>11000</v>
      </c>
      <c r="J62" s="2">
        <f t="shared" si="41"/>
        <v>1.9632339817954667</v>
      </c>
      <c r="K62" s="2">
        <v>1369</v>
      </c>
      <c r="L62" s="2">
        <f t="shared" si="42"/>
        <v>0.22835696413678067</v>
      </c>
      <c r="M62" s="2">
        <v>46.8</v>
      </c>
      <c r="N62" s="2">
        <v>21.9</v>
      </c>
      <c r="O62" s="2">
        <v>60.3</v>
      </c>
      <c r="P62" s="2">
        <v>85.3</v>
      </c>
      <c r="Q62" s="2">
        <v>83.8</v>
      </c>
      <c r="R62" s="2">
        <v>449</v>
      </c>
      <c r="S62" s="2">
        <v>453</v>
      </c>
      <c r="T62" s="2">
        <v>50.8</v>
      </c>
      <c r="U62" s="2">
        <v>1.03</v>
      </c>
      <c r="V62" s="2">
        <v>491</v>
      </c>
      <c r="W62" s="2">
        <v>48.9</v>
      </c>
      <c r="X62" s="2">
        <v>104.6</v>
      </c>
      <c r="Y62" s="2">
        <v>13.03</v>
      </c>
      <c r="Z62" s="2">
        <v>52.1</v>
      </c>
      <c r="AA62" s="2">
        <v>12.7</v>
      </c>
      <c r="AB62" s="2">
        <v>2.58</v>
      </c>
      <c r="AC62" s="2">
        <v>12.9</v>
      </c>
      <c r="AD62" s="2">
        <v>2.41</v>
      </c>
      <c r="AE62" s="2">
        <v>13.8</v>
      </c>
      <c r="AF62" s="2">
        <v>3.06</v>
      </c>
      <c r="AG62" s="2">
        <v>9.9499999999999993</v>
      </c>
      <c r="AH62" s="2">
        <v>1.39</v>
      </c>
      <c r="AI62" s="2">
        <v>9.6</v>
      </c>
      <c r="AJ62" s="2">
        <v>1.38</v>
      </c>
      <c r="AK62" s="2">
        <v>12.3</v>
      </c>
      <c r="AL62" s="2">
        <v>3.1</v>
      </c>
      <c r="AM62" s="2">
        <v>5.0999999999999996</v>
      </c>
      <c r="AN62" s="2">
        <v>6.72</v>
      </c>
      <c r="AO62" s="2">
        <v>2.1</v>
      </c>
    </row>
    <row r="63" spans="1:52">
      <c r="A63" s="2">
        <v>35.299999999999997</v>
      </c>
      <c r="B63" s="1" t="s">
        <v>95</v>
      </c>
      <c r="C63" s="3">
        <v>3710000</v>
      </c>
      <c r="D63" s="2">
        <v>230000</v>
      </c>
      <c r="E63" s="2">
        <v>30660</v>
      </c>
      <c r="F63" s="2">
        <f t="shared" si="39"/>
        <v>4.1326324302466642</v>
      </c>
      <c r="G63" s="2">
        <v>11050</v>
      </c>
      <c r="H63" s="2">
        <f t="shared" si="40"/>
        <v>1.9721577726218096</v>
      </c>
      <c r="I63" s="2">
        <v>10840</v>
      </c>
      <c r="J63" s="2">
        <f t="shared" si="41"/>
        <v>1.9346778511511689</v>
      </c>
      <c r="K63" s="2">
        <v>1360</v>
      </c>
      <c r="L63" s="2">
        <f t="shared" si="42"/>
        <v>0.22685571309424518</v>
      </c>
      <c r="M63" s="2">
        <v>46.3</v>
      </c>
      <c r="N63" s="2">
        <v>21.5</v>
      </c>
      <c r="O63" s="2">
        <v>60.5</v>
      </c>
      <c r="P63" s="2">
        <v>86.4</v>
      </c>
      <c r="Q63" s="2">
        <v>84.2</v>
      </c>
      <c r="R63" s="2">
        <v>459</v>
      </c>
      <c r="S63" s="2">
        <v>457</v>
      </c>
      <c r="T63" s="2">
        <v>52.1</v>
      </c>
      <c r="U63" s="2">
        <v>0.96</v>
      </c>
      <c r="V63" s="2">
        <v>508</v>
      </c>
      <c r="W63" s="2">
        <v>49.3</v>
      </c>
      <c r="X63" s="2">
        <v>107.9</v>
      </c>
      <c r="Y63" s="2">
        <v>13.29</v>
      </c>
      <c r="Z63" s="2">
        <v>52.6</v>
      </c>
      <c r="AA63" s="2">
        <v>13.62</v>
      </c>
      <c r="AB63" s="2">
        <v>2.42</v>
      </c>
      <c r="AC63" s="2">
        <v>13.5</v>
      </c>
      <c r="AD63" s="2">
        <v>2.27</v>
      </c>
      <c r="AE63" s="2">
        <v>15.8</v>
      </c>
      <c r="AF63" s="2">
        <v>3.29</v>
      </c>
      <c r="AG63" s="2">
        <v>9.6</v>
      </c>
      <c r="AH63" s="2">
        <v>1.45</v>
      </c>
      <c r="AI63" s="2">
        <v>9.49</v>
      </c>
      <c r="AJ63" s="2">
        <v>1.33</v>
      </c>
      <c r="AK63" s="2">
        <v>12.49</v>
      </c>
      <c r="AL63" s="2">
        <v>3.15</v>
      </c>
      <c r="AM63" s="2">
        <v>4.97</v>
      </c>
      <c r="AN63" s="2">
        <v>6.9</v>
      </c>
      <c r="AO63" s="2">
        <v>2.2000000000000002</v>
      </c>
    </row>
    <row r="64" spans="1:52">
      <c r="A64" s="2">
        <v>35.299999999999997</v>
      </c>
      <c r="B64" s="1" t="s">
        <v>96</v>
      </c>
      <c r="C64" s="3">
        <v>3710000</v>
      </c>
      <c r="D64" s="2">
        <v>160000</v>
      </c>
      <c r="E64" s="2">
        <v>30620</v>
      </c>
      <c r="F64" s="2">
        <f t="shared" si="39"/>
        <v>4.1272408680415156</v>
      </c>
      <c r="G64" s="2">
        <v>11780</v>
      </c>
      <c r="H64" s="2">
        <f t="shared" si="40"/>
        <v>2.1024451186864179</v>
      </c>
      <c r="I64" s="2">
        <v>11230</v>
      </c>
      <c r="J64" s="2">
        <f t="shared" si="41"/>
        <v>2.0042834195966446</v>
      </c>
      <c r="K64" s="2">
        <v>1347</v>
      </c>
      <c r="L64" s="2">
        <f t="shared" si="42"/>
        <v>0.22468723936613841</v>
      </c>
      <c r="M64" s="2">
        <v>45.6</v>
      </c>
      <c r="N64" s="2">
        <v>21.7</v>
      </c>
      <c r="O64" s="2">
        <v>60.3</v>
      </c>
      <c r="P64" s="2">
        <v>86.7</v>
      </c>
      <c r="Q64" s="2">
        <v>82.5</v>
      </c>
      <c r="R64" s="2">
        <v>462</v>
      </c>
      <c r="S64" s="2">
        <v>459</v>
      </c>
      <c r="T64" s="2">
        <v>52.8</v>
      </c>
      <c r="U64" s="2">
        <v>0.93</v>
      </c>
      <c r="V64" s="2">
        <v>516</v>
      </c>
      <c r="W64" s="2">
        <v>51.3</v>
      </c>
      <c r="X64" s="2">
        <v>110.6</v>
      </c>
      <c r="Y64" s="2">
        <v>13.57</v>
      </c>
      <c r="Z64" s="2">
        <v>55.4</v>
      </c>
      <c r="AA64" s="2">
        <v>13.4</v>
      </c>
      <c r="AB64" s="2">
        <v>2.73</v>
      </c>
      <c r="AC64" s="2">
        <v>13</v>
      </c>
      <c r="AD64" s="2">
        <v>2.27</v>
      </c>
      <c r="AE64" s="2">
        <v>15.9</v>
      </c>
      <c r="AF64" s="2">
        <v>3.09</v>
      </c>
      <c r="AG64" s="2">
        <v>9.82</v>
      </c>
      <c r="AH64" s="2">
        <v>1.24</v>
      </c>
      <c r="AI64" s="2">
        <v>9.33</v>
      </c>
      <c r="AJ64" s="2">
        <v>1.41</v>
      </c>
      <c r="AK64" s="2">
        <v>12.75</v>
      </c>
      <c r="AL64" s="2">
        <v>3.34</v>
      </c>
      <c r="AM64" s="2">
        <v>5.03</v>
      </c>
      <c r="AN64" s="2">
        <v>6.61</v>
      </c>
      <c r="AO64" s="2">
        <v>2.2400000000000002</v>
      </c>
    </row>
    <row r="65" spans="1:41">
      <c r="A65" s="2">
        <v>35.299999999999997</v>
      </c>
      <c r="B65" s="1" t="s">
        <v>97</v>
      </c>
      <c r="C65" s="3">
        <v>3650000</v>
      </c>
      <c r="D65" s="2">
        <v>220000</v>
      </c>
      <c r="E65" s="2">
        <v>31050</v>
      </c>
      <c r="F65" s="2">
        <f t="shared" si="39"/>
        <v>4.1852001617468657</v>
      </c>
      <c r="G65" s="2">
        <v>11160</v>
      </c>
      <c r="H65" s="2">
        <f t="shared" si="40"/>
        <v>1.9917901124397641</v>
      </c>
      <c r="I65" s="2">
        <v>11110</v>
      </c>
      <c r="J65" s="2">
        <f t="shared" si="41"/>
        <v>1.9828663216134212</v>
      </c>
      <c r="K65" s="2">
        <v>1333</v>
      </c>
      <c r="L65" s="2">
        <f t="shared" si="42"/>
        <v>0.22235195996663884</v>
      </c>
      <c r="M65" s="2">
        <v>46.1</v>
      </c>
      <c r="N65" s="2">
        <v>21.2</v>
      </c>
      <c r="O65" s="2">
        <v>59.3</v>
      </c>
      <c r="P65" s="2">
        <v>86</v>
      </c>
      <c r="Q65" s="2">
        <v>84</v>
      </c>
      <c r="R65" s="2">
        <v>459</v>
      </c>
      <c r="S65" s="2">
        <v>463</v>
      </c>
      <c r="T65" s="2">
        <v>53</v>
      </c>
      <c r="U65" s="2">
        <v>1.01</v>
      </c>
      <c r="V65" s="2">
        <v>504</v>
      </c>
      <c r="W65" s="2">
        <v>49.9</v>
      </c>
      <c r="X65" s="2">
        <v>109.5</v>
      </c>
      <c r="Y65" s="2">
        <v>12.91</v>
      </c>
      <c r="Z65" s="2">
        <v>53.1</v>
      </c>
      <c r="AA65" s="2">
        <v>11.9</v>
      </c>
      <c r="AB65" s="2">
        <v>2.57</v>
      </c>
      <c r="AC65" s="2">
        <v>12.6</v>
      </c>
      <c r="AD65" s="2">
        <v>2.31</v>
      </c>
      <c r="AE65" s="2">
        <v>14.15</v>
      </c>
      <c r="AF65" s="2">
        <v>3.15</v>
      </c>
      <c r="AG65" s="2">
        <v>8.85</v>
      </c>
      <c r="AH65" s="2">
        <v>1.1299999999999999</v>
      </c>
      <c r="AI65" s="2">
        <v>8.5299999999999994</v>
      </c>
      <c r="AJ65" s="2">
        <v>1.32</v>
      </c>
      <c r="AK65" s="2">
        <v>12.4</v>
      </c>
      <c r="AL65" s="2">
        <v>3.23</v>
      </c>
      <c r="AM65" s="2">
        <v>4.93</v>
      </c>
      <c r="AN65" s="2">
        <v>6.48</v>
      </c>
      <c r="AO65" s="2">
        <v>2.0499999999999998</v>
      </c>
    </row>
    <row r="66" spans="1:41">
      <c r="A66" s="2">
        <v>35.299999999999997</v>
      </c>
      <c r="B66" s="1" t="s">
        <v>98</v>
      </c>
      <c r="C66" s="3">
        <v>2920000</v>
      </c>
      <c r="D66" s="2">
        <v>580000</v>
      </c>
      <c r="E66" s="2">
        <v>31540</v>
      </c>
      <c r="F66" s="2">
        <f t="shared" si="39"/>
        <v>4.25124679875994</v>
      </c>
      <c r="G66" s="2">
        <v>11270</v>
      </c>
      <c r="H66" s="2">
        <f t="shared" si="40"/>
        <v>2.0114224522577193</v>
      </c>
      <c r="I66" s="2">
        <v>11260</v>
      </c>
      <c r="J66" s="2">
        <f t="shared" si="41"/>
        <v>2.0096376940924503</v>
      </c>
      <c r="K66" s="2">
        <v>1341</v>
      </c>
      <c r="L66" s="2">
        <f t="shared" si="42"/>
        <v>0.22368640533778147</v>
      </c>
      <c r="M66" s="2">
        <v>45.1</v>
      </c>
      <c r="N66" s="2">
        <v>22</v>
      </c>
      <c r="O66" s="2">
        <v>63.6</v>
      </c>
      <c r="P66" s="2">
        <v>89.8</v>
      </c>
      <c r="Q66" s="2">
        <v>85.7</v>
      </c>
      <c r="R66" s="2">
        <v>476</v>
      </c>
      <c r="S66" s="2">
        <v>478</v>
      </c>
      <c r="T66" s="2">
        <v>54.9</v>
      </c>
      <c r="U66" s="2">
        <v>0.97699999999999998</v>
      </c>
      <c r="V66" s="2">
        <v>533</v>
      </c>
      <c r="W66" s="2">
        <v>52.5</v>
      </c>
      <c r="X66" s="2">
        <v>115.7</v>
      </c>
      <c r="Y66" s="2">
        <v>14.28</v>
      </c>
      <c r="Z66" s="2">
        <v>55.7</v>
      </c>
      <c r="AA66" s="2">
        <v>13.4</v>
      </c>
      <c r="AB66" s="2">
        <v>2.44</v>
      </c>
      <c r="AC66" s="2">
        <v>13.5</v>
      </c>
      <c r="AD66" s="2">
        <v>2.2200000000000002</v>
      </c>
      <c r="AE66" s="2">
        <v>15.8</v>
      </c>
      <c r="AF66" s="2">
        <v>3.19</v>
      </c>
      <c r="AG66" s="2">
        <v>9.84</v>
      </c>
      <c r="AH66" s="2">
        <v>1.28</v>
      </c>
      <c r="AI66" s="2">
        <v>8.6300000000000008</v>
      </c>
      <c r="AJ66" s="2">
        <v>1.42</v>
      </c>
      <c r="AK66" s="2">
        <v>13.1</v>
      </c>
      <c r="AL66" s="2">
        <v>3.38</v>
      </c>
      <c r="AM66" s="2">
        <v>4.55</v>
      </c>
      <c r="AN66" s="2">
        <v>6.95</v>
      </c>
      <c r="AO66" s="2">
        <v>2.09</v>
      </c>
    </row>
    <row r="67" spans="1:41" s="36" customFormat="1">
      <c r="B67" s="13" t="s">
        <v>60</v>
      </c>
      <c r="C67" s="14">
        <f>AVERAGE(C55:C66)</f>
        <v>3484166.6666666665</v>
      </c>
      <c r="D67" s="14">
        <f t="shared" ref="D67:AO67" si="43">AVERAGE(D55:D66)</f>
        <v>241666.66666666666</v>
      </c>
      <c r="E67" s="14">
        <f t="shared" si="43"/>
        <v>30871.666666666668</v>
      </c>
      <c r="F67" s="14">
        <f t="shared" si="43"/>
        <v>4.1611627802489108</v>
      </c>
      <c r="G67" s="14">
        <f t="shared" si="43"/>
        <v>11450</v>
      </c>
      <c r="H67" s="14">
        <f t="shared" si="43"/>
        <v>2.0435480992325541</v>
      </c>
      <c r="I67" s="14">
        <f t="shared" si="43"/>
        <v>11304.166666666666</v>
      </c>
      <c r="J67" s="14">
        <f t="shared" si="43"/>
        <v>2.0175203759890534</v>
      </c>
      <c r="K67" s="14">
        <f t="shared" si="43"/>
        <v>1430.4166666666667</v>
      </c>
      <c r="L67" s="14">
        <f t="shared" si="43"/>
        <v>0.23860161245482339</v>
      </c>
      <c r="M67" s="14">
        <f t="shared" si="43"/>
        <v>45.216666666666676</v>
      </c>
      <c r="N67" s="14">
        <f t="shared" si="43"/>
        <v>22.008333333333336</v>
      </c>
      <c r="O67" s="14">
        <f t="shared" si="43"/>
        <v>62.274999999999999</v>
      </c>
      <c r="P67" s="14">
        <f t="shared" si="43"/>
        <v>88.316666666666663</v>
      </c>
      <c r="Q67" s="14">
        <f t="shared" si="43"/>
        <v>85.358333333333334</v>
      </c>
      <c r="R67" s="14">
        <f t="shared" si="43"/>
        <v>463.83333333333331</v>
      </c>
      <c r="S67" s="14">
        <f t="shared" si="43"/>
        <v>464.08333333333331</v>
      </c>
      <c r="T67" s="14">
        <f t="shared" si="43"/>
        <v>53.966666666666669</v>
      </c>
      <c r="U67" s="14">
        <f t="shared" si="43"/>
        <v>0.99708333333333321</v>
      </c>
      <c r="V67" s="14">
        <f t="shared" si="43"/>
        <v>515.16666666666663</v>
      </c>
      <c r="W67" s="14">
        <f t="shared" si="43"/>
        <v>51.616666666666667</v>
      </c>
      <c r="X67" s="14">
        <f t="shared" si="43"/>
        <v>111.63333333333334</v>
      </c>
      <c r="Y67" s="14">
        <f t="shared" si="43"/>
        <v>13.567499999999997</v>
      </c>
      <c r="Z67" s="14">
        <f t="shared" si="43"/>
        <v>55.758333333333347</v>
      </c>
      <c r="AA67" s="14">
        <f t="shared" si="43"/>
        <v>13.31</v>
      </c>
      <c r="AB67" s="14">
        <f t="shared" si="43"/>
        <v>2.5058333333333338</v>
      </c>
      <c r="AC67" s="14">
        <f t="shared" si="43"/>
        <v>13.274999999999999</v>
      </c>
      <c r="AD67" s="14">
        <f t="shared" si="43"/>
        <v>2.2875000000000001</v>
      </c>
      <c r="AE67" s="14">
        <f t="shared" si="43"/>
        <v>14.995833333333335</v>
      </c>
      <c r="AF67" s="14">
        <f t="shared" si="43"/>
        <v>3.1816666666666666</v>
      </c>
      <c r="AG67" s="14">
        <f t="shared" si="43"/>
        <v>9.4724999999999984</v>
      </c>
      <c r="AH67" s="14">
        <f t="shared" si="43"/>
        <v>1.3766666666666669</v>
      </c>
      <c r="AI67" s="14">
        <f t="shared" si="43"/>
        <v>9.4566666666666652</v>
      </c>
      <c r="AJ67" s="14">
        <f t="shared" si="43"/>
        <v>1.405</v>
      </c>
      <c r="AK67" s="14">
        <f t="shared" si="43"/>
        <v>12.949166666666665</v>
      </c>
      <c r="AL67" s="14">
        <f t="shared" si="43"/>
        <v>3.269166666666667</v>
      </c>
      <c r="AM67" s="14">
        <f t="shared" si="43"/>
        <v>5</v>
      </c>
      <c r="AN67" s="14">
        <f t="shared" si="43"/>
        <v>6.826666666666668</v>
      </c>
      <c r="AO67" s="14">
        <f t="shared" si="43"/>
        <v>2.1425000000000001</v>
      </c>
    </row>
    <row r="68" spans="1:41" s="36" customFormat="1">
      <c r="B68" s="13" t="s">
        <v>61</v>
      </c>
      <c r="C68" s="14">
        <f>STDEV(C55:C66)</f>
        <v>324806.46918471687</v>
      </c>
      <c r="D68" s="14">
        <f t="shared" ref="D68:AO68" si="44">STDEV(D55:D66)</f>
        <v>147453.12557699223</v>
      </c>
      <c r="E68" s="14">
        <f t="shared" si="44"/>
        <v>865.59315798561806</v>
      </c>
      <c r="F68" s="14">
        <f t="shared" si="44"/>
        <v>0.11667248389076938</v>
      </c>
      <c r="G68" s="14">
        <f t="shared" si="44"/>
        <v>353.73333561776832</v>
      </c>
      <c r="H68" s="14">
        <f t="shared" si="44"/>
        <v>6.3132845907151236E-2</v>
      </c>
      <c r="I68" s="14">
        <f t="shared" si="44"/>
        <v>240.9246707369276</v>
      </c>
      <c r="J68" s="14">
        <f t="shared" si="44"/>
        <v>4.2999227331238191E-2</v>
      </c>
      <c r="K68" s="14">
        <f t="shared" si="44"/>
        <v>84.097841647077786</v>
      </c>
      <c r="L68" s="14">
        <f t="shared" si="44"/>
        <v>1.4027996938628492E-2</v>
      </c>
      <c r="M68" s="14">
        <f t="shared" si="44"/>
        <v>1.7770421457801124</v>
      </c>
      <c r="N68" s="14">
        <f t="shared" si="44"/>
        <v>0.58225007644065752</v>
      </c>
      <c r="O68" s="14">
        <f t="shared" si="44"/>
        <v>2.1256549792732344</v>
      </c>
      <c r="P68" s="14">
        <f t="shared" si="44"/>
        <v>2.2798856962310157</v>
      </c>
      <c r="Q68" s="14">
        <f t="shared" si="44"/>
        <v>2.1943971354061675</v>
      </c>
      <c r="R68" s="14">
        <f t="shared" si="44"/>
        <v>9.12372863704441</v>
      </c>
      <c r="S68" s="14">
        <f t="shared" si="44"/>
        <v>11.712140813029976</v>
      </c>
      <c r="T68" s="14">
        <f t="shared" si="44"/>
        <v>1.4699000172141172</v>
      </c>
      <c r="U68" s="14">
        <f t="shared" si="44"/>
        <v>4.1333363880731618E-2</v>
      </c>
      <c r="V68" s="14">
        <f t="shared" si="44"/>
        <v>13.888080784571635</v>
      </c>
      <c r="W68" s="14">
        <f t="shared" si="44"/>
        <v>1.7382506008959575</v>
      </c>
      <c r="X68" s="14">
        <f t="shared" si="44"/>
        <v>3.9400815250756462</v>
      </c>
      <c r="Y68" s="14">
        <f t="shared" si="44"/>
        <v>0.44644301275343473</v>
      </c>
      <c r="Z68" s="14">
        <f t="shared" si="44"/>
        <v>2.4710904230294526</v>
      </c>
      <c r="AA68" s="14">
        <f t="shared" si="44"/>
        <v>0.61947191586500083</v>
      </c>
      <c r="AB68" s="14">
        <f t="shared" si="44"/>
        <v>0.15710207066127618</v>
      </c>
      <c r="AC68" s="14">
        <f t="shared" si="44"/>
        <v>0.43926591656369751</v>
      </c>
      <c r="AD68" s="14">
        <f t="shared" si="44"/>
        <v>6.1514964919854288E-2</v>
      </c>
      <c r="AE68" s="14">
        <f t="shared" si="44"/>
        <v>0.78753306808878387</v>
      </c>
      <c r="AF68" s="14">
        <f t="shared" si="44"/>
        <v>7.8720833944831245E-2</v>
      </c>
      <c r="AG68" s="14">
        <f t="shared" si="44"/>
        <v>0.58112938631286215</v>
      </c>
      <c r="AH68" s="14">
        <f t="shared" si="44"/>
        <v>0.14221196301381409</v>
      </c>
      <c r="AI68" s="14">
        <f t="shared" si="44"/>
        <v>0.51115436795432756</v>
      </c>
      <c r="AJ68" s="14">
        <f t="shared" si="44"/>
        <v>6.7082039324993681E-2</v>
      </c>
      <c r="AK68" s="14">
        <f t="shared" si="44"/>
        <v>0.54306300209314951</v>
      </c>
      <c r="AL68" s="14">
        <f t="shared" si="44"/>
        <v>0.11649879697649114</v>
      </c>
      <c r="AM68" s="14">
        <f t="shared" si="44"/>
        <v>0.22421580513587183</v>
      </c>
      <c r="AN68" s="14">
        <f t="shared" si="44"/>
        <v>0.23223551264467143</v>
      </c>
      <c r="AO68" s="14">
        <f t="shared" si="44"/>
        <v>9.7526220250574905E-2</v>
      </c>
    </row>
    <row r="69" spans="1:41" customFormat="1">
      <c r="A69" s="26"/>
      <c r="B69" s="5" t="s">
        <v>62</v>
      </c>
      <c r="C69" s="17" t="s">
        <v>99</v>
      </c>
      <c r="D69" s="18"/>
      <c r="E69" s="9"/>
      <c r="F69" s="27">
        <v>4.37</v>
      </c>
      <c r="G69" s="9"/>
      <c r="H69" s="7">
        <v>1.7</v>
      </c>
      <c r="I69" s="9"/>
      <c r="J69" s="7">
        <v>1.7</v>
      </c>
      <c r="K69" s="9"/>
      <c r="L69" s="7">
        <v>0.255</v>
      </c>
      <c r="M69" s="8"/>
      <c r="N69" s="9">
        <v>25.3</v>
      </c>
      <c r="O69" s="9">
        <v>65.3</v>
      </c>
      <c r="P69" s="9">
        <v>94.1</v>
      </c>
      <c r="Q69" s="9">
        <v>94.5</v>
      </c>
      <c r="R69" s="9">
        <v>512</v>
      </c>
      <c r="S69" s="9"/>
      <c r="T69" s="8">
        <v>62.4</v>
      </c>
      <c r="U69" s="8">
        <v>1.08</v>
      </c>
      <c r="V69" s="8">
        <v>547</v>
      </c>
      <c r="W69" s="8">
        <v>55.6</v>
      </c>
      <c r="X69" s="8">
        <v>121</v>
      </c>
      <c r="Y69" s="8">
        <v>14.6</v>
      </c>
      <c r="Z69" s="8">
        <v>60.9</v>
      </c>
      <c r="AA69" s="8">
        <v>14.2</v>
      </c>
      <c r="AB69" s="8">
        <v>2.76</v>
      </c>
      <c r="AC69" s="8">
        <v>15.3</v>
      </c>
      <c r="AD69" s="8">
        <v>2.5099999999999998</v>
      </c>
      <c r="AE69" s="8">
        <v>16.2</v>
      </c>
      <c r="AF69" s="8">
        <v>3.43</v>
      </c>
      <c r="AG69" s="8">
        <v>10.3</v>
      </c>
      <c r="AH69" s="8">
        <v>1.52</v>
      </c>
      <c r="AI69" s="8">
        <v>10.5</v>
      </c>
      <c r="AJ69" s="8">
        <v>1.54</v>
      </c>
      <c r="AK69" s="8">
        <v>13.7</v>
      </c>
      <c r="AL69" s="8">
        <v>3.9</v>
      </c>
      <c r="AM69" s="8">
        <v>5.67</v>
      </c>
      <c r="AN69" s="8">
        <v>7.4</v>
      </c>
      <c r="AO69" s="8">
        <v>2.37</v>
      </c>
    </row>
    <row r="70" spans="1:41" customFormat="1">
      <c r="A70" s="26"/>
      <c r="B70" s="5" t="s">
        <v>64</v>
      </c>
      <c r="C70" s="20" t="s">
        <v>100</v>
      </c>
      <c r="D70" s="18"/>
      <c r="E70" s="9"/>
      <c r="F70" s="27">
        <v>7.0000000000000007E-2</v>
      </c>
      <c r="G70" s="9"/>
      <c r="H70" s="7">
        <v>0.03</v>
      </c>
      <c r="I70" s="9"/>
      <c r="J70" s="7">
        <v>0.03</v>
      </c>
      <c r="K70" s="9"/>
      <c r="L70" s="7">
        <v>1.6E-2</v>
      </c>
      <c r="M70" s="8"/>
      <c r="N70" s="9">
        <v>2.4</v>
      </c>
      <c r="O70" s="9">
        <v>3</v>
      </c>
      <c r="P70" s="9">
        <v>2.7</v>
      </c>
      <c r="Q70" s="9">
        <v>3.5</v>
      </c>
      <c r="R70" s="9">
        <v>20</v>
      </c>
      <c r="S70" s="9"/>
      <c r="T70" s="8">
        <v>2.6</v>
      </c>
      <c r="U70" s="8">
        <v>0.11</v>
      </c>
      <c r="V70" s="8">
        <v>16</v>
      </c>
      <c r="W70" s="8">
        <v>1.5</v>
      </c>
      <c r="X70" s="8">
        <v>4</v>
      </c>
      <c r="Y70" s="8">
        <v>0.4</v>
      </c>
      <c r="Z70" s="8">
        <v>2</v>
      </c>
      <c r="AA70" s="8">
        <v>0.4</v>
      </c>
      <c r="AB70" s="8">
        <v>0.1</v>
      </c>
      <c r="AC70" s="8">
        <v>0.7</v>
      </c>
      <c r="AD70" s="8">
        <v>0.08</v>
      </c>
      <c r="AE70" s="8">
        <v>0.7</v>
      </c>
      <c r="AF70" s="8">
        <v>0.11</v>
      </c>
      <c r="AG70" s="8">
        <v>0.5</v>
      </c>
      <c r="AH70" s="8">
        <v>7.0000000000000007E-2</v>
      </c>
      <c r="AI70" s="8">
        <v>0.4</v>
      </c>
      <c r="AJ70" s="8">
        <v>0.05</v>
      </c>
      <c r="AK70" s="8">
        <v>0.5</v>
      </c>
      <c r="AL70" s="8">
        <v>0.2</v>
      </c>
      <c r="AM70" s="8">
        <v>0.62</v>
      </c>
      <c r="AN70" s="8">
        <v>0.27</v>
      </c>
      <c r="AO70" s="8">
        <v>0.12</v>
      </c>
    </row>
    <row r="71" spans="1:41" customFormat="1">
      <c r="A71" s="26"/>
      <c r="B71" s="28" t="s">
        <v>101</v>
      </c>
      <c r="C71" s="29"/>
      <c r="D71" s="30"/>
      <c r="E71" s="31"/>
      <c r="F71" s="31"/>
      <c r="G71" s="31"/>
      <c r="H71" s="31"/>
      <c r="I71" s="31"/>
      <c r="J71" s="31"/>
      <c r="K71" s="31"/>
      <c r="L71" s="31"/>
      <c r="M71" s="31"/>
      <c r="N71" s="32"/>
      <c r="O71" s="33">
        <v>63.718666666666657</v>
      </c>
      <c r="P71" s="33">
        <v>87.500000000000014</v>
      </c>
      <c r="Q71" s="33">
        <v>80.36</v>
      </c>
      <c r="R71" s="33">
        <v>444.52000000000004</v>
      </c>
      <c r="S71" s="33"/>
      <c r="T71" s="33">
        <v>54.734000000000002</v>
      </c>
      <c r="U71" s="33">
        <v>0.92706666666666671</v>
      </c>
      <c r="V71" s="33">
        <v>521.33333333333337</v>
      </c>
      <c r="W71" s="33">
        <v>50.205333333333343</v>
      </c>
      <c r="X71" s="33">
        <v>112.67333333333332</v>
      </c>
      <c r="Y71" s="33">
        <v>13.426</v>
      </c>
      <c r="Z71" s="33">
        <v>54.660000000000004</v>
      </c>
      <c r="AA71" s="33">
        <v>13.005333333333335</v>
      </c>
      <c r="AB71" s="33">
        <v>2.4699999999999993</v>
      </c>
      <c r="AC71" s="33">
        <v>12.777333333333333</v>
      </c>
      <c r="AD71" s="33">
        <v>2.1404000000000001</v>
      </c>
      <c r="AE71" s="33">
        <v>14.411999999999999</v>
      </c>
      <c r="AF71" s="33">
        <v>2.9926666666666666</v>
      </c>
      <c r="AG71" s="33">
        <v>9.0013333333333314</v>
      </c>
      <c r="AH71" s="33">
        <v>1.3212666666666666</v>
      </c>
      <c r="AI71" s="33">
        <v>9.0813333333333333</v>
      </c>
      <c r="AJ71" s="33">
        <v>1.3296666666666668</v>
      </c>
      <c r="AK71" s="33">
        <v>11.875333333333334</v>
      </c>
      <c r="AL71" s="33">
        <v>3.3839999999999995</v>
      </c>
      <c r="AM71" s="33">
        <v>5.3373333333333326</v>
      </c>
      <c r="AN71" s="33">
        <v>6.5666666666666673</v>
      </c>
      <c r="AO71" s="33">
        <v>2.1093333333333337</v>
      </c>
    </row>
    <row r="72" spans="1:41" customFormat="1">
      <c r="A72" s="26"/>
      <c r="B72" s="28" t="s">
        <v>102</v>
      </c>
      <c r="C72" s="29"/>
      <c r="D72" s="30"/>
      <c r="E72" s="31"/>
      <c r="F72" s="31"/>
      <c r="G72" s="31"/>
      <c r="H72" s="31"/>
      <c r="I72" s="31"/>
      <c r="J72" s="31"/>
      <c r="K72" s="31"/>
      <c r="L72" s="31"/>
      <c r="M72" s="31"/>
      <c r="N72" s="32"/>
      <c r="O72" s="33">
        <v>0.94101667410964773</v>
      </c>
      <c r="P72" s="33">
        <v>1.7562134592029841</v>
      </c>
      <c r="Q72" s="33">
        <v>1.3494972608874964</v>
      </c>
      <c r="R72" s="33">
        <v>8.760642507422455</v>
      </c>
      <c r="S72" s="33"/>
      <c r="T72" s="33">
        <v>1.0726056391530197</v>
      </c>
      <c r="U72" s="33">
        <v>5.7271866275394462E-2</v>
      </c>
      <c r="V72" s="33">
        <v>13.716812763209701</v>
      </c>
      <c r="W72" s="33">
        <v>0.95116369829403224</v>
      </c>
      <c r="X72" s="33">
        <v>2.0418712239605359</v>
      </c>
      <c r="Y72" s="33">
        <v>0.26264587783336163</v>
      </c>
      <c r="Z72" s="33">
        <v>1.0927030703718184</v>
      </c>
      <c r="AA72" s="33">
        <v>0.61914534027234047</v>
      </c>
      <c r="AB72" s="33">
        <v>0.1271669319101022</v>
      </c>
      <c r="AC72" s="33">
        <v>0.55634607249530621</v>
      </c>
      <c r="AD72" s="33">
        <v>7.179912454699075E-2</v>
      </c>
      <c r="AE72" s="33">
        <v>0.53179211835345686</v>
      </c>
      <c r="AF72" s="33">
        <v>7.9594208930286472E-2</v>
      </c>
      <c r="AG72" s="33">
        <v>0.26251167774478334</v>
      </c>
      <c r="AH72" s="33">
        <v>6.376459683495074E-2</v>
      </c>
      <c r="AI72" s="33">
        <v>0.27815377726991924</v>
      </c>
      <c r="AJ72" s="33">
        <v>3.650375062269369E-2</v>
      </c>
      <c r="AK72" s="33">
        <v>0.37881142437642418</v>
      </c>
      <c r="AL72" s="33">
        <v>0.17553184489268195</v>
      </c>
      <c r="AM72" s="33">
        <v>0.36279602034883507</v>
      </c>
      <c r="AN72" s="33">
        <v>0.21995670569671752</v>
      </c>
      <c r="AO72" s="33">
        <v>6.7555973265208208E-2</v>
      </c>
    </row>
    <row r="73" spans="1:41" customFormat="1">
      <c r="A73" s="26"/>
      <c r="B73" s="21" t="s">
        <v>86</v>
      </c>
      <c r="C73" s="34"/>
      <c r="D73" s="4"/>
      <c r="E73" s="19"/>
      <c r="F73" s="25">
        <f>F67/F69*100</f>
        <v>95.221116252835486</v>
      </c>
      <c r="G73" s="19"/>
      <c r="H73" s="25">
        <f>H67/H69*100</f>
        <v>120.208711719562</v>
      </c>
      <c r="I73" s="19"/>
      <c r="J73" s="25">
        <f>J67/J69*100</f>
        <v>118.67766917582668</v>
      </c>
      <c r="K73" s="19"/>
      <c r="L73" s="25">
        <f>L67/L69*100</f>
        <v>93.569259786205251</v>
      </c>
      <c r="M73" s="35"/>
      <c r="N73" s="25">
        <f>N68/N69*100</f>
        <v>2.3013837013464724</v>
      </c>
      <c r="O73" s="25">
        <f>O67/O69*100</f>
        <v>95.367534456355287</v>
      </c>
      <c r="P73" s="25">
        <f t="shared" ref="P73:AO73" si="45">P67/P69*100</f>
        <v>93.854055968827481</v>
      </c>
      <c r="Q73" s="25">
        <f t="shared" si="45"/>
        <v>90.326278659611987</v>
      </c>
      <c r="R73" s="25">
        <f t="shared" si="45"/>
        <v>90.592447916666657</v>
      </c>
      <c r="S73" s="25"/>
      <c r="T73" s="25">
        <f t="shared" si="45"/>
        <v>86.48504273504274</v>
      </c>
      <c r="U73" s="25">
        <f t="shared" si="45"/>
        <v>92.322530864197518</v>
      </c>
      <c r="V73" s="25">
        <f t="shared" si="45"/>
        <v>94.1803778184034</v>
      </c>
      <c r="W73" s="25">
        <f t="shared" si="45"/>
        <v>92.835731414868107</v>
      </c>
      <c r="X73" s="25">
        <f t="shared" si="45"/>
        <v>92.258953168044073</v>
      </c>
      <c r="Y73" s="25">
        <f t="shared" si="45"/>
        <v>92.928082191780803</v>
      </c>
      <c r="Z73" s="25">
        <f t="shared" si="45"/>
        <v>91.557197591680378</v>
      </c>
      <c r="AA73" s="25">
        <f t="shared" si="45"/>
        <v>93.732394366197198</v>
      </c>
      <c r="AB73" s="25">
        <f t="shared" si="45"/>
        <v>90.791062801932384</v>
      </c>
      <c r="AC73" s="25">
        <f t="shared" si="45"/>
        <v>86.764705882352928</v>
      </c>
      <c r="AD73" s="25">
        <f t="shared" si="45"/>
        <v>91.135458167330682</v>
      </c>
      <c r="AE73" s="25">
        <f t="shared" si="45"/>
        <v>92.566872427983554</v>
      </c>
      <c r="AF73" s="25">
        <f t="shared" si="45"/>
        <v>92.75996112730806</v>
      </c>
      <c r="AG73" s="25">
        <f t="shared" si="45"/>
        <v>91.966019417475707</v>
      </c>
      <c r="AH73" s="25">
        <f t="shared" si="45"/>
        <v>90.570175438596507</v>
      </c>
      <c r="AI73" s="25">
        <f t="shared" si="45"/>
        <v>90.063492063492049</v>
      </c>
      <c r="AJ73" s="25">
        <f t="shared" si="45"/>
        <v>91.233766233766232</v>
      </c>
      <c r="AK73" s="25">
        <f t="shared" si="45"/>
        <v>94.519464720194634</v>
      </c>
      <c r="AL73" s="25">
        <f t="shared" si="45"/>
        <v>83.824786324786345</v>
      </c>
      <c r="AM73" s="25">
        <f t="shared" si="45"/>
        <v>88.183421516754862</v>
      </c>
      <c r="AN73" s="25">
        <f t="shared" si="45"/>
        <v>92.252252252252262</v>
      </c>
      <c r="AO73" s="25">
        <f t="shared" si="45"/>
        <v>90.400843881856545</v>
      </c>
    </row>
    <row r="74" spans="1:41" customFormat="1">
      <c r="A74" s="26"/>
      <c r="B74" s="21" t="s">
        <v>103</v>
      </c>
      <c r="C74" s="34"/>
      <c r="D74" s="4"/>
      <c r="E74" s="19"/>
      <c r="F74" s="19"/>
      <c r="G74" s="19"/>
      <c r="H74" s="19"/>
      <c r="I74" s="19"/>
      <c r="J74" s="19"/>
      <c r="K74" s="19"/>
      <c r="L74" s="19"/>
      <c r="M74" s="35"/>
      <c r="N74" s="24"/>
      <c r="O74" s="25">
        <f>O67/O71*100</f>
        <v>97.734311243173138</v>
      </c>
      <c r="P74" s="25">
        <f t="shared" ref="P74:AO74" si="46">P67/P71*100</f>
        <v>100.93333333333332</v>
      </c>
      <c r="Q74" s="25">
        <f t="shared" si="46"/>
        <v>106.21992699518832</v>
      </c>
      <c r="R74" s="25">
        <f t="shared" si="46"/>
        <v>104.34476139056359</v>
      </c>
      <c r="S74" s="25"/>
      <c r="T74" s="25">
        <f t="shared" si="46"/>
        <v>98.598068233030048</v>
      </c>
      <c r="U74" s="25">
        <f t="shared" si="46"/>
        <v>107.55249532575866</v>
      </c>
      <c r="V74" s="25">
        <f t="shared" si="46"/>
        <v>98.817135549872106</v>
      </c>
      <c r="W74" s="25">
        <f t="shared" si="46"/>
        <v>102.81112232432143</v>
      </c>
      <c r="X74" s="25">
        <f t="shared" si="46"/>
        <v>99.076977693627612</v>
      </c>
      <c r="Y74" s="25">
        <f t="shared" si="46"/>
        <v>101.0539252197229</v>
      </c>
      <c r="Z74" s="25">
        <f t="shared" si="46"/>
        <v>102.00939138919382</v>
      </c>
      <c r="AA74" s="25">
        <f t="shared" si="46"/>
        <v>102.34262866516299</v>
      </c>
      <c r="AB74" s="25">
        <f t="shared" si="46"/>
        <v>101.45074224021597</v>
      </c>
      <c r="AC74" s="25">
        <f t="shared" si="46"/>
        <v>103.89491808410727</v>
      </c>
      <c r="AD74" s="25">
        <f t="shared" si="46"/>
        <v>106.8725471874416</v>
      </c>
      <c r="AE74" s="25">
        <f t="shared" si="46"/>
        <v>104.05102229623463</v>
      </c>
      <c r="AF74" s="25">
        <f t="shared" si="46"/>
        <v>106.31543773668967</v>
      </c>
      <c r="AG74" s="25">
        <f t="shared" si="46"/>
        <v>105.23440971707896</v>
      </c>
      <c r="AH74" s="25">
        <f t="shared" si="46"/>
        <v>104.19294616277313</v>
      </c>
      <c r="AI74" s="25">
        <f t="shared" si="46"/>
        <v>104.13302011452062</v>
      </c>
      <c r="AJ74" s="25">
        <f t="shared" si="46"/>
        <v>105.66558034595135</v>
      </c>
      <c r="AK74" s="25">
        <f t="shared" si="46"/>
        <v>109.04255319148935</v>
      </c>
      <c r="AL74" s="25">
        <f t="shared" si="46"/>
        <v>96.606579984239588</v>
      </c>
      <c r="AM74" s="25">
        <f t="shared" si="46"/>
        <v>93.679740194853878</v>
      </c>
      <c r="AN74" s="25">
        <f t="shared" si="46"/>
        <v>103.95939086294416</v>
      </c>
      <c r="AO74" s="25">
        <f t="shared" si="46"/>
        <v>101.57237673830592</v>
      </c>
    </row>
    <row r="76" spans="1:41">
      <c r="A76" s="2">
        <v>35.299999999999997</v>
      </c>
      <c r="B76" s="1" t="s">
        <v>104</v>
      </c>
      <c r="C76" s="3">
        <v>2820000</v>
      </c>
      <c r="D76" s="2">
        <v>130000</v>
      </c>
      <c r="E76" s="2">
        <v>23750</v>
      </c>
      <c r="F76" s="2">
        <f>(E76/0.7419)/10000</f>
        <v>3.2012400593071839</v>
      </c>
      <c r="G76" s="2">
        <v>3430</v>
      </c>
      <c r="H76" s="2">
        <f>(G76/0.5603)/10000</f>
        <v>0.61217205068713187</v>
      </c>
      <c r="I76" s="2">
        <v>3400</v>
      </c>
      <c r="J76" s="2">
        <f>(I76/0.5603)/10000</f>
        <v>0.60681777619132604</v>
      </c>
      <c r="K76" s="2">
        <v>1282</v>
      </c>
      <c r="L76" s="2">
        <f>(K55/0.5995)/10000</f>
        <v>0.25788156797331108</v>
      </c>
      <c r="M76" s="2">
        <v>56</v>
      </c>
      <c r="N76" s="2">
        <v>19.5</v>
      </c>
      <c r="O76" s="2">
        <v>182.3</v>
      </c>
      <c r="P76" s="2">
        <v>20.8</v>
      </c>
      <c r="Q76" s="2">
        <v>54.6</v>
      </c>
      <c r="R76" s="2">
        <v>203.3</v>
      </c>
      <c r="S76" s="2">
        <v>199</v>
      </c>
      <c r="T76" s="2">
        <v>44</v>
      </c>
      <c r="U76" s="2">
        <v>4.01</v>
      </c>
      <c r="V76" s="2">
        <v>890</v>
      </c>
      <c r="W76" s="2">
        <v>71.3</v>
      </c>
      <c r="X76" s="2">
        <v>136.1</v>
      </c>
      <c r="Y76" s="2">
        <v>14.54</v>
      </c>
      <c r="Z76" s="2">
        <v>53.7</v>
      </c>
      <c r="AA76" s="2">
        <v>9.4</v>
      </c>
      <c r="AB76" s="2">
        <v>0.92</v>
      </c>
      <c r="AC76" s="2">
        <v>8.6999999999999993</v>
      </c>
      <c r="AD76" s="2">
        <v>1.31</v>
      </c>
      <c r="AE76" s="2">
        <v>9.6</v>
      </c>
      <c r="AF76" s="2">
        <v>2.02</v>
      </c>
      <c r="AG76" s="2">
        <v>5.13</v>
      </c>
      <c r="AH76" s="2">
        <v>0.89</v>
      </c>
      <c r="AI76" s="2">
        <v>5.77</v>
      </c>
      <c r="AJ76" s="2">
        <v>0.8</v>
      </c>
      <c r="AK76" s="2">
        <v>6.94</v>
      </c>
      <c r="AL76" s="2">
        <v>2.85</v>
      </c>
      <c r="AM76" s="2">
        <v>27.3</v>
      </c>
      <c r="AN76" s="2">
        <v>25.8</v>
      </c>
      <c r="AO76" s="2">
        <v>7.54</v>
      </c>
    </row>
    <row r="77" spans="1:41">
      <c r="A77" s="2">
        <v>35.299999999999997</v>
      </c>
      <c r="B77" s="1" t="s">
        <v>105</v>
      </c>
      <c r="C77" s="3">
        <v>2850000</v>
      </c>
      <c r="D77" s="2">
        <v>170000</v>
      </c>
      <c r="E77" s="2">
        <v>23010</v>
      </c>
      <c r="F77" s="2">
        <f t="shared" ref="F77:F87" si="47">(E77/0.7419)/10000</f>
        <v>3.1014961585119285</v>
      </c>
      <c r="G77" s="2">
        <v>3280</v>
      </c>
      <c r="H77" s="2">
        <f t="shared" ref="H77:H87" si="48">(G77/0.5603)/10000</f>
        <v>0.58540067820810282</v>
      </c>
      <c r="I77" s="2">
        <v>3480</v>
      </c>
      <c r="J77" s="2">
        <f t="shared" ref="J77:J87" si="49">(I77/0.5603)/10000</f>
        <v>0.62109584151347486</v>
      </c>
      <c r="K77" s="2">
        <v>1378</v>
      </c>
      <c r="L77" s="2">
        <f t="shared" ref="L77:L87" si="50">(K56/0.5995)/10000</f>
        <v>0.25821517931609672</v>
      </c>
      <c r="M77" s="2">
        <v>56.7</v>
      </c>
      <c r="N77" s="2">
        <v>19.3</v>
      </c>
      <c r="O77" s="2">
        <v>181.8</v>
      </c>
      <c r="P77" s="2">
        <v>21</v>
      </c>
      <c r="Q77" s="2">
        <v>55.5</v>
      </c>
      <c r="R77" s="2">
        <v>206.6</v>
      </c>
      <c r="S77" s="2">
        <v>210</v>
      </c>
      <c r="T77" s="2">
        <v>45.4</v>
      </c>
      <c r="U77" s="2">
        <v>4.29</v>
      </c>
      <c r="V77" s="2">
        <v>918</v>
      </c>
      <c r="W77" s="2">
        <v>72.599999999999994</v>
      </c>
      <c r="X77" s="2">
        <v>139.6</v>
      </c>
      <c r="Y77" s="2">
        <v>14.8</v>
      </c>
      <c r="Z77" s="2">
        <v>53.8</v>
      </c>
      <c r="AA77" s="2">
        <v>10.9</v>
      </c>
      <c r="AB77" s="2">
        <v>0.88</v>
      </c>
      <c r="AC77" s="2">
        <v>9</v>
      </c>
      <c r="AD77" s="2">
        <v>1.51</v>
      </c>
      <c r="AE77" s="2">
        <v>9.6</v>
      </c>
      <c r="AF77" s="2">
        <v>1.84</v>
      </c>
      <c r="AG77" s="2">
        <v>5.69</v>
      </c>
      <c r="AH77" s="2">
        <v>0.96</v>
      </c>
      <c r="AI77" s="2">
        <v>5.59</v>
      </c>
      <c r="AJ77" s="2">
        <v>0.85799999999999998</v>
      </c>
      <c r="AK77" s="2">
        <v>7.3</v>
      </c>
      <c r="AL77" s="2">
        <v>2.88</v>
      </c>
      <c r="AM77" s="2">
        <v>26</v>
      </c>
      <c r="AN77" s="2">
        <v>25.4</v>
      </c>
      <c r="AO77" s="2">
        <v>7.45</v>
      </c>
    </row>
    <row r="78" spans="1:41">
      <c r="A78" s="2">
        <v>35.299999999999997</v>
      </c>
      <c r="B78" s="1" t="s">
        <v>106</v>
      </c>
      <c r="C78" s="3">
        <v>2800000</v>
      </c>
      <c r="D78" s="2">
        <v>320000</v>
      </c>
      <c r="E78" s="2">
        <v>23600</v>
      </c>
      <c r="F78" s="2">
        <f t="shared" si="47"/>
        <v>3.1810217010378756</v>
      </c>
      <c r="G78" s="2">
        <v>3300</v>
      </c>
      <c r="H78" s="2">
        <f t="shared" si="48"/>
        <v>0.58897019453863997</v>
      </c>
      <c r="I78" s="2">
        <v>3420</v>
      </c>
      <c r="J78" s="2">
        <f t="shared" si="49"/>
        <v>0.6103872925218633</v>
      </c>
      <c r="K78" s="2">
        <v>1356</v>
      </c>
      <c r="L78" s="2">
        <f t="shared" si="50"/>
        <v>0.25871559633027524</v>
      </c>
      <c r="M78" s="2">
        <v>58.8</v>
      </c>
      <c r="N78" s="2">
        <v>20.5</v>
      </c>
      <c r="O78" s="2">
        <v>179.8</v>
      </c>
      <c r="P78" s="2">
        <v>20.7</v>
      </c>
      <c r="Q78" s="2">
        <v>53.9</v>
      </c>
      <c r="R78" s="2">
        <v>206</v>
      </c>
      <c r="S78" s="2">
        <v>204</v>
      </c>
      <c r="T78" s="2">
        <v>43.5</v>
      </c>
      <c r="U78" s="2">
        <v>4.0599999999999996</v>
      </c>
      <c r="V78" s="2">
        <v>883</v>
      </c>
      <c r="W78" s="2">
        <v>70.400000000000006</v>
      </c>
      <c r="X78" s="2">
        <v>133.19999999999999</v>
      </c>
      <c r="Y78" s="2">
        <v>14.4</v>
      </c>
      <c r="Z78" s="2">
        <v>51.7</v>
      </c>
      <c r="AA78" s="2">
        <v>9.6</v>
      </c>
      <c r="AB78" s="2">
        <v>0.81</v>
      </c>
      <c r="AC78" s="2">
        <v>7.7</v>
      </c>
      <c r="AD78" s="2">
        <v>1.33</v>
      </c>
      <c r="AE78" s="2">
        <v>8.6999999999999993</v>
      </c>
      <c r="AF78" s="2">
        <v>2.0299999999999998</v>
      </c>
      <c r="AG78" s="2">
        <v>5.7</v>
      </c>
      <c r="AH78" s="2">
        <v>0.97</v>
      </c>
      <c r="AI78" s="2">
        <v>5.5</v>
      </c>
      <c r="AJ78" s="2">
        <v>0.88</v>
      </c>
      <c r="AK78" s="2">
        <v>7.05</v>
      </c>
      <c r="AL78" s="2">
        <v>2.71</v>
      </c>
      <c r="AM78" s="2">
        <v>25.9</v>
      </c>
      <c r="AN78" s="2">
        <v>25.2</v>
      </c>
      <c r="AO78" s="2">
        <v>6.72</v>
      </c>
    </row>
    <row r="79" spans="1:41">
      <c r="A79" s="2">
        <v>35.299999999999997</v>
      </c>
      <c r="B79" s="1" t="s">
        <v>107</v>
      </c>
      <c r="C79" s="3">
        <v>3000000</v>
      </c>
      <c r="D79" s="2">
        <v>140000</v>
      </c>
      <c r="E79" s="2">
        <v>23990</v>
      </c>
      <c r="F79" s="2">
        <f t="shared" si="47"/>
        <v>3.2335894325380776</v>
      </c>
      <c r="G79" s="2">
        <v>3640</v>
      </c>
      <c r="H79" s="2">
        <f t="shared" si="48"/>
        <v>0.64965197215777259</v>
      </c>
      <c r="I79" s="2">
        <v>3480</v>
      </c>
      <c r="J79" s="2">
        <f t="shared" si="49"/>
        <v>0.62109584151347486</v>
      </c>
      <c r="K79" s="2">
        <v>1265</v>
      </c>
      <c r="L79" s="2">
        <f t="shared" si="50"/>
        <v>0.24353628023352794</v>
      </c>
      <c r="M79" s="2">
        <v>59.7</v>
      </c>
      <c r="N79" s="2">
        <v>18.809999999999999</v>
      </c>
      <c r="O79" s="2">
        <v>180.8</v>
      </c>
      <c r="P79" s="2">
        <v>21.1</v>
      </c>
      <c r="Q79" s="2">
        <v>52.6</v>
      </c>
      <c r="R79" s="2">
        <v>197.9</v>
      </c>
      <c r="S79" s="2">
        <v>200</v>
      </c>
      <c r="T79" s="2">
        <v>45.3</v>
      </c>
      <c r="U79" s="2">
        <v>3.91</v>
      </c>
      <c r="V79" s="2">
        <v>894</v>
      </c>
      <c r="W79" s="2">
        <v>72.099999999999994</v>
      </c>
      <c r="X79" s="2">
        <v>133.30000000000001</v>
      </c>
      <c r="Y79" s="2">
        <v>14.91</v>
      </c>
      <c r="Z79" s="2">
        <v>52.5</v>
      </c>
      <c r="AA79" s="2">
        <v>10.4</v>
      </c>
      <c r="AB79" s="2">
        <v>0.83</v>
      </c>
      <c r="AC79" s="2">
        <v>8.6</v>
      </c>
      <c r="AD79" s="2">
        <v>1.32</v>
      </c>
      <c r="AE79" s="2">
        <v>8.41</v>
      </c>
      <c r="AF79" s="2">
        <v>1.67</v>
      </c>
      <c r="AG79" s="2">
        <v>5.43</v>
      </c>
      <c r="AH79" s="2">
        <v>0.78</v>
      </c>
      <c r="AI79" s="2">
        <v>5.44</v>
      </c>
      <c r="AJ79" s="2">
        <v>0.84899999999999998</v>
      </c>
      <c r="AK79" s="2">
        <v>6.98</v>
      </c>
      <c r="AL79" s="2">
        <v>2.87</v>
      </c>
      <c r="AM79" s="2">
        <v>27.2</v>
      </c>
      <c r="AN79" s="2">
        <v>25.9</v>
      </c>
      <c r="AO79" s="2">
        <v>7.41</v>
      </c>
    </row>
    <row r="80" spans="1:41">
      <c r="A80" s="2">
        <v>35.299999999999997</v>
      </c>
      <c r="B80" s="1" t="s">
        <v>108</v>
      </c>
      <c r="C80" s="3">
        <v>2990000</v>
      </c>
      <c r="D80" s="2">
        <v>190000</v>
      </c>
      <c r="E80" s="2">
        <v>24700</v>
      </c>
      <c r="F80" s="2">
        <f t="shared" si="47"/>
        <v>3.3292896616794714</v>
      </c>
      <c r="G80" s="2">
        <v>3350</v>
      </c>
      <c r="H80" s="2">
        <f t="shared" si="48"/>
        <v>0.59789398536498306</v>
      </c>
      <c r="I80" s="2">
        <v>3340</v>
      </c>
      <c r="J80" s="2">
        <f t="shared" si="49"/>
        <v>0.59610922719971438</v>
      </c>
      <c r="K80" s="2">
        <v>1264</v>
      </c>
      <c r="L80" s="2">
        <f t="shared" si="50"/>
        <v>0.24553794829024186</v>
      </c>
      <c r="M80" s="2">
        <v>61.1</v>
      </c>
      <c r="N80" s="2">
        <v>19.100000000000001</v>
      </c>
      <c r="O80" s="2">
        <v>182.7</v>
      </c>
      <c r="P80" s="2">
        <v>20.7</v>
      </c>
      <c r="Q80" s="2">
        <v>52.7</v>
      </c>
      <c r="R80" s="2">
        <v>201</v>
      </c>
      <c r="S80" s="2">
        <v>201</v>
      </c>
      <c r="T80" s="2">
        <v>46.8</v>
      </c>
      <c r="U80" s="2">
        <v>4.24</v>
      </c>
      <c r="V80" s="2">
        <v>917</v>
      </c>
      <c r="W80" s="2">
        <v>73.7</v>
      </c>
      <c r="X80" s="2">
        <v>139</v>
      </c>
      <c r="Y80" s="2">
        <v>15.4</v>
      </c>
      <c r="Z80" s="2">
        <v>55.8</v>
      </c>
      <c r="AA80" s="2">
        <v>10.5</v>
      </c>
      <c r="AB80" s="2">
        <v>0.97</v>
      </c>
      <c r="AC80" s="2">
        <v>9.6999999999999993</v>
      </c>
      <c r="AD80" s="2">
        <v>1.51</v>
      </c>
      <c r="AE80" s="2">
        <v>9.4</v>
      </c>
      <c r="AF80" s="2">
        <v>1.75</v>
      </c>
      <c r="AG80" s="2">
        <v>6.1</v>
      </c>
      <c r="AH80" s="2">
        <v>0.84</v>
      </c>
      <c r="AI80" s="2">
        <v>6.3</v>
      </c>
      <c r="AJ80" s="2">
        <v>0.79</v>
      </c>
      <c r="AK80" s="2">
        <v>7.75</v>
      </c>
      <c r="AL80" s="2">
        <v>2.94</v>
      </c>
      <c r="AM80" s="2">
        <v>27.6</v>
      </c>
      <c r="AN80" s="2">
        <v>27.5</v>
      </c>
      <c r="AO80" s="2">
        <v>7.77</v>
      </c>
    </row>
    <row r="81" spans="1:43">
      <c r="A81" s="2">
        <v>35.299999999999997</v>
      </c>
      <c r="B81" s="1" t="s">
        <v>109</v>
      </c>
      <c r="C81" s="3">
        <v>2950000</v>
      </c>
      <c r="D81" s="2">
        <v>200000</v>
      </c>
      <c r="E81" s="2">
        <v>24200</v>
      </c>
      <c r="F81" s="2">
        <f t="shared" si="47"/>
        <v>3.2618951341151101</v>
      </c>
      <c r="G81" s="2">
        <v>3110</v>
      </c>
      <c r="H81" s="2">
        <f t="shared" si="48"/>
        <v>0.55505978939853651</v>
      </c>
      <c r="I81" s="2">
        <v>3280</v>
      </c>
      <c r="J81" s="2">
        <f t="shared" si="49"/>
        <v>0.58540067820810282</v>
      </c>
      <c r="K81" s="2">
        <v>1213</v>
      </c>
      <c r="L81" s="2">
        <f t="shared" si="50"/>
        <v>0.23736447039199335</v>
      </c>
      <c r="M81" s="2">
        <v>59.6</v>
      </c>
      <c r="N81" s="2">
        <v>18.8</v>
      </c>
      <c r="O81" s="2">
        <v>176.5</v>
      </c>
      <c r="P81" s="2">
        <v>20.5</v>
      </c>
      <c r="Q81" s="2">
        <v>52.7</v>
      </c>
      <c r="R81" s="2">
        <v>199.8</v>
      </c>
      <c r="S81" s="2">
        <v>192.2</v>
      </c>
      <c r="T81" s="2">
        <v>45.5</v>
      </c>
      <c r="U81" s="2">
        <v>4.3499999999999996</v>
      </c>
      <c r="V81" s="2">
        <v>876</v>
      </c>
      <c r="W81" s="2">
        <v>69.8</v>
      </c>
      <c r="X81" s="2">
        <v>133.80000000000001</v>
      </c>
      <c r="Y81" s="2">
        <v>14.69</v>
      </c>
      <c r="Z81" s="2">
        <v>53.8</v>
      </c>
      <c r="AA81" s="2">
        <v>11.73</v>
      </c>
      <c r="AB81" s="2">
        <v>1.0900000000000001</v>
      </c>
      <c r="AC81" s="2">
        <v>8.49</v>
      </c>
      <c r="AD81" s="2">
        <v>1.56</v>
      </c>
      <c r="AE81" s="2">
        <v>9</v>
      </c>
      <c r="AF81" s="2">
        <v>2.0499999999999998</v>
      </c>
      <c r="AG81" s="2">
        <v>5.92</v>
      </c>
      <c r="AH81" s="2">
        <v>0.91</v>
      </c>
      <c r="AI81" s="2">
        <v>6.17</v>
      </c>
      <c r="AJ81" s="2">
        <v>0.83</v>
      </c>
      <c r="AK81" s="2">
        <v>7.32</v>
      </c>
      <c r="AL81" s="2">
        <v>2.72</v>
      </c>
      <c r="AM81" s="2">
        <v>25.7</v>
      </c>
      <c r="AN81" s="2">
        <v>25.1</v>
      </c>
      <c r="AO81" s="2">
        <v>7.57</v>
      </c>
    </row>
    <row r="82" spans="1:43">
      <c r="A82" s="2">
        <v>35.299999999999997</v>
      </c>
      <c r="B82" s="1" t="s">
        <v>110</v>
      </c>
      <c r="C82" s="3">
        <v>2990000</v>
      </c>
      <c r="D82" s="2">
        <v>170000</v>
      </c>
      <c r="E82" s="2">
        <v>24270</v>
      </c>
      <c r="F82" s="2">
        <f t="shared" si="47"/>
        <v>3.2713303679741208</v>
      </c>
      <c r="G82" s="2">
        <v>3190</v>
      </c>
      <c r="H82" s="2">
        <f t="shared" si="48"/>
        <v>0.56933785472068532</v>
      </c>
      <c r="I82" s="2">
        <v>3310</v>
      </c>
      <c r="J82" s="2">
        <f t="shared" si="49"/>
        <v>0.59075495270390854</v>
      </c>
      <c r="K82" s="2">
        <v>1205</v>
      </c>
      <c r="L82" s="2">
        <f t="shared" si="50"/>
        <v>0.23603002502085069</v>
      </c>
      <c r="M82" s="2">
        <v>65.3</v>
      </c>
      <c r="N82" s="2">
        <v>19.600000000000001</v>
      </c>
      <c r="O82" s="2">
        <v>182.1</v>
      </c>
      <c r="P82" s="2">
        <v>20.9</v>
      </c>
      <c r="Q82" s="2">
        <v>53.9</v>
      </c>
      <c r="R82" s="2">
        <v>200.6</v>
      </c>
      <c r="S82" s="2">
        <v>195</v>
      </c>
      <c r="T82" s="2">
        <v>45.5</v>
      </c>
      <c r="U82" s="2">
        <v>4.08</v>
      </c>
      <c r="V82" s="2">
        <v>897</v>
      </c>
      <c r="W82" s="2">
        <v>72.2</v>
      </c>
      <c r="X82" s="2">
        <v>138.6</v>
      </c>
      <c r="Y82" s="2">
        <v>15.06</v>
      </c>
      <c r="Z82" s="2">
        <v>51.3</v>
      </c>
      <c r="AA82" s="2">
        <v>10.7</v>
      </c>
      <c r="AB82" s="2">
        <v>1.1299999999999999</v>
      </c>
      <c r="AC82" s="2">
        <v>9.6999999999999993</v>
      </c>
      <c r="AD82" s="2">
        <v>1.53</v>
      </c>
      <c r="AE82" s="2">
        <v>8.89</v>
      </c>
      <c r="AF82" s="2">
        <v>1.77</v>
      </c>
      <c r="AG82" s="2">
        <v>6.4</v>
      </c>
      <c r="AH82" s="2">
        <v>0.64100000000000001</v>
      </c>
      <c r="AI82" s="2">
        <v>5.72</v>
      </c>
      <c r="AJ82" s="2">
        <v>0.8</v>
      </c>
      <c r="AK82" s="2">
        <v>7.59</v>
      </c>
      <c r="AL82" s="2">
        <v>2.94</v>
      </c>
      <c r="AM82" s="2">
        <v>26.8</v>
      </c>
      <c r="AN82" s="2">
        <v>26.4</v>
      </c>
      <c r="AO82" s="2">
        <v>7.83</v>
      </c>
    </row>
    <row r="83" spans="1:43">
      <c r="A83" s="2">
        <v>35.299999999999997</v>
      </c>
      <c r="B83" s="1" t="s">
        <v>111</v>
      </c>
      <c r="C83" s="3">
        <v>3110000</v>
      </c>
      <c r="D83" s="2">
        <v>190000</v>
      </c>
      <c r="E83" s="2">
        <v>24620</v>
      </c>
      <c r="F83" s="2">
        <f t="shared" si="47"/>
        <v>3.3185065372691738</v>
      </c>
      <c r="G83" s="2">
        <v>3430</v>
      </c>
      <c r="H83" s="2">
        <f t="shared" si="48"/>
        <v>0.61217205068713187</v>
      </c>
      <c r="I83" s="2">
        <v>3230</v>
      </c>
      <c r="J83" s="2">
        <f t="shared" si="49"/>
        <v>0.57647688738175973</v>
      </c>
      <c r="K83" s="2">
        <v>1183</v>
      </c>
      <c r="L83" s="2">
        <f t="shared" si="50"/>
        <v>0.22835696413678067</v>
      </c>
      <c r="M83" s="2">
        <v>61.2</v>
      </c>
      <c r="N83" s="2">
        <v>18.600000000000001</v>
      </c>
      <c r="O83" s="2">
        <v>174.4</v>
      </c>
      <c r="P83" s="2">
        <v>19.440000000000001</v>
      </c>
      <c r="Q83" s="2">
        <v>51.1</v>
      </c>
      <c r="R83" s="2">
        <v>191</v>
      </c>
      <c r="S83" s="2">
        <v>186.5</v>
      </c>
      <c r="T83" s="2">
        <v>42.9</v>
      </c>
      <c r="U83" s="2">
        <v>3.92</v>
      </c>
      <c r="V83" s="2">
        <v>862</v>
      </c>
      <c r="W83" s="2">
        <v>67.900000000000006</v>
      </c>
      <c r="X83" s="2">
        <v>128.6</v>
      </c>
      <c r="Y83" s="2">
        <v>14.19</v>
      </c>
      <c r="Z83" s="2">
        <v>50.7</v>
      </c>
      <c r="AA83" s="2">
        <v>9.1999999999999993</v>
      </c>
      <c r="AB83" s="2">
        <v>1</v>
      </c>
      <c r="AC83" s="2">
        <v>8.9</v>
      </c>
      <c r="AD83" s="2">
        <v>1.38</v>
      </c>
      <c r="AE83" s="2">
        <v>8.6300000000000008</v>
      </c>
      <c r="AF83" s="2">
        <v>1.95</v>
      </c>
      <c r="AG83" s="2">
        <v>5.6</v>
      </c>
      <c r="AH83" s="2">
        <v>0.79</v>
      </c>
      <c r="AI83" s="2">
        <v>5.0999999999999996</v>
      </c>
      <c r="AJ83" s="2">
        <v>0.8</v>
      </c>
      <c r="AK83" s="2">
        <v>7.34</v>
      </c>
      <c r="AL83" s="2">
        <v>2.83</v>
      </c>
      <c r="AM83" s="2">
        <v>25.7</v>
      </c>
      <c r="AN83" s="2">
        <v>25.6</v>
      </c>
      <c r="AO83" s="2">
        <v>7.86</v>
      </c>
    </row>
    <row r="84" spans="1:43">
      <c r="A84" s="2">
        <v>35.299999999999997</v>
      </c>
      <c r="B84" s="1" t="s">
        <v>112</v>
      </c>
      <c r="C84" s="3">
        <v>3140000</v>
      </c>
      <c r="D84" s="2">
        <v>210000</v>
      </c>
      <c r="E84" s="2">
        <v>24160</v>
      </c>
      <c r="F84" s="2">
        <f t="shared" si="47"/>
        <v>3.2565035719099606</v>
      </c>
      <c r="G84" s="2">
        <v>3300</v>
      </c>
      <c r="H84" s="2">
        <f t="shared" si="48"/>
        <v>0.58897019453863997</v>
      </c>
      <c r="I84" s="2">
        <v>3232</v>
      </c>
      <c r="J84" s="2">
        <f t="shared" si="49"/>
        <v>0.57683383901481344</v>
      </c>
      <c r="K84" s="2">
        <v>1160</v>
      </c>
      <c r="L84" s="2">
        <f t="shared" si="50"/>
        <v>0.22685571309424518</v>
      </c>
      <c r="M84" s="2">
        <v>62.7</v>
      </c>
      <c r="N84" s="2">
        <v>19</v>
      </c>
      <c r="O84" s="2">
        <v>175.2</v>
      </c>
      <c r="P84" s="2">
        <v>19.93</v>
      </c>
      <c r="Q84" s="2">
        <v>52.4</v>
      </c>
      <c r="R84" s="2">
        <v>198.5</v>
      </c>
      <c r="S84" s="2">
        <v>200</v>
      </c>
      <c r="T84" s="2">
        <v>42.8</v>
      </c>
      <c r="U84" s="2">
        <v>4.03</v>
      </c>
      <c r="V84" s="2">
        <v>853</v>
      </c>
      <c r="W84" s="2">
        <v>68.599999999999994</v>
      </c>
      <c r="X84" s="2">
        <v>129.5</v>
      </c>
      <c r="Y84" s="2">
        <v>13.92</v>
      </c>
      <c r="Z84" s="2">
        <v>50.4</v>
      </c>
      <c r="AA84" s="2">
        <v>10.7</v>
      </c>
      <c r="AB84" s="2">
        <v>0.97</v>
      </c>
      <c r="AC84" s="2">
        <v>8</v>
      </c>
      <c r="AD84" s="2">
        <v>1.55</v>
      </c>
      <c r="AE84" s="2">
        <v>9.3000000000000007</v>
      </c>
      <c r="AF84" s="2">
        <v>2.0099999999999998</v>
      </c>
      <c r="AG84" s="2">
        <v>5.19</v>
      </c>
      <c r="AH84" s="2">
        <v>0.87</v>
      </c>
      <c r="AI84" s="2">
        <v>6.3</v>
      </c>
      <c r="AJ84" s="2">
        <v>0.79</v>
      </c>
      <c r="AK84" s="2">
        <v>6.9</v>
      </c>
      <c r="AL84" s="2">
        <v>2.75</v>
      </c>
      <c r="AM84" s="2">
        <v>24.6</v>
      </c>
      <c r="AN84" s="2">
        <v>25.5</v>
      </c>
      <c r="AO84" s="2">
        <v>7.68</v>
      </c>
    </row>
    <row r="85" spans="1:43">
      <c r="A85" s="2">
        <v>35.299999999999997</v>
      </c>
      <c r="B85" s="1" t="s">
        <v>113</v>
      </c>
      <c r="C85" s="3">
        <v>3040000</v>
      </c>
      <c r="D85" s="2">
        <v>140000</v>
      </c>
      <c r="E85" s="2">
        <v>23760</v>
      </c>
      <c r="F85" s="2">
        <f t="shared" si="47"/>
        <v>3.2025879498584717</v>
      </c>
      <c r="G85" s="2">
        <v>3250</v>
      </c>
      <c r="H85" s="2">
        <f t="shared" si="48"/>
        <v>0.58004640371229699</v>
      </c>
      <c r="I85" s="2">
        <v>3230</v>
      </c>
      <c r="J85" s="2">
        <f t="shared" si="49"/>
        <v>0.57647688738175973</v>
      </c>
      <c r="K85" s="2">
        <v>1142</v>
      </c>
      <c r="L85" s="2">
        <f t="shared" si="50"/>
        <v>0.22468723936613841</v>
      </c>
      <c r="M85" s="2">
        <v>60.6</v>
      </c>
      <c r="N85" s="2">
        <v>18.100000000000001</v>
      </c>
      <c r="O85" s="2">
        <v>171.4</v>
      </c>
      <c r="P85" s="2">
        <v>19.2</v>
      </c>
      <c r="Q85" s="2">
        <v>51.2</v>
      </c>
      <c r="R85" s="2">
        <v>194.3</v>
      </c>
      <c r="S85" s="2">
        <v>194.1</v>
      </c>
      <c r="T85" s="2">
        <v>42.4</v>
      </c>
      <c r="U85" s="2">
        <v>4.07</v>
      </c>
      <c r="V85" s="2">
        <v>859</v>
      </c>
      <c r="W85" s="2">
        <v>67</v>
      </c>
      <c r="X85" s="2">
        <v>127</v>
      </c>
      <c r="Y85" s="2">
        <v>13.94</v>
      </c>
      <c r="Z85" s="2">
        <v>50.8</v>
      </c>
      <c r="AA85" s="2">
        <v>10.1</v>
      </c>
      <c r="AB85" s="2">
        <v>0.86</v>
      </c>
      <c r="AC85" s="2">
        <v>8.5</v>
      </c>
      <c r="AD85" s="2">
        <v>1.36</v>
      </c>
      <c r="AE85" s="2">
        <v>8.9</v>
      </c>
      <c r="AF85" s="2">
        <v>1.81</v>
      </c>
      <c r="AG85" s="2">
        <v>6.06</v>
      </c>
      <c r="AH85" s="2">
        <v>0.73</v>
      </c>
      <c r="AI85" s="2">
        <v>6.07</v>
      </c>
      <c r="AJ85" s="2">
        <v>0.76</v>
      </c>
      <c r="AK85" s="2">
        <v>7.11</v>
      </c>
      <c r="AL85" s="2">
        <v>2.87</v>
      </c>
      <c r="AM85" s="2">
        <v>24.6</v>
      </c>
      <c r="AN85" s="2">
        <v>25.1</v>
      </c>
      <c r="AO85" s="2">
        <v>7.24</v>
      </c>
    </row>
    <row r="86" spans="1:43">
      <c r="A86" s="2">
        <v>35.299999999999997</v>
      </c>
      <c r="B86" s="1" t="s">
        <v>114</v>
      </c>
      <c r="C86" s="3">
        <v>3020000</v>
      </c>
      <c r="D86" s="2">
        <v>150000</v>
      </c>
      <c r="E86" s="2">
        <v>24000</v>
      </c>
      <c r="F86" s="2">
        <f t="shared" si="47"/>
        <v>3.2349373230893654</v>
      </c>
      <c r="G86" s="2">
        <v>3560</v>
      </c>
      <c r="H86" s="2">
        <f t="shared" si="48"/>
        <v>0.63537390683562367</v>
      </c>
      <c r="I86" s="2">
        <v>3291</v>
      </c>
      <c r="J86" s="2">
        <f t="shared" si="49"/>
        <v>0.58736391218989825</v>
      </c>
      <c r="K86" s="2">
        <v>1137</v>
      </c>
      <c r="L86" s="2">
        <f t="shared" si="50"/>
        <v>0.22235195996663884</v>
      </c>
      <c r="M86" s="2">
        <v>61.3</v>
      </c>
      <c r="N86" s="2">
        <v>18.899999999999999</v>
      </c>
      <c r="O86" s="2">
        <v>175.6</v>
      </c>
      <c r="P86" s="2">
        <v>19.61</v>
      </c>
      <c r="Q86" s="2">
        <v>51.3</v>
      </c>
      <c r="R86" s="2">
        <v>195.9</v>
      </c>
      <c r="S86" s="2">
        <v>196</v>
      </c>
      <c r="T86" s="2">
        <v>43.7</v>
      </c>
      <c r="U86" s="2">
        <v>3.95</v>
      </c>
      <c r="V86" s="2">
        <v>861</v>
      </c>
      <c r="W86" s="2">
        <v>67.599999999999994</v>
      </c>
      <c r="X86" s="2">
        <v>131.6</v>
      </c>
      <c r="Y86" s="2">
        <v>14.27</v>
      </c>
      <c r="Z86" s="2">
        <v>50.1</v>
      </c>
      <c r="AA86" s="2">
        <v>9.1999999999999993</v>
      </c>
      <c r="AB86" s="2">
        <v>0.89</v>
      </c>
      <c r="AC86" s="2">
        <v>8.1999999999999993</v>
      </c>
      <c r="AD86" s="2">
        <v>1.34</v>
      </c>
      <c r="AE86" s="2">
        <v>8.41</v>
      </c>
      <c r="AF86" s="2">
        <v>1.71</v>
      </c>
      <c r="AG86" s="2">
        <v>5.33</v>
      </c>
      <c r="AH86" s="2">
        <v>0.81</v>
      </c>
      <c r="AI86" s="2">
        <v>5.21</v>
      </c>
      <c r="AJ86" s="2">
        <v>0.74099999999999999</v>
      </c>
      <c r="AK86" s="2">
        <v>6.63</v>
      </c>
      <c r="AL86" s="2">
        <v>2.71</v>
      </c>
      <c r="AM86" s="2">
        <v>24.9</v>
      </c>
      <c r="AN86" s="2">
        <v>24.5</v>
      </c>
      <c r="AO86" s="2">
        <v>7.17</v>
      </c>
    </row>
    <row r="87" spans="1:43">
      <c r="A87" s="2">
        <v>35.299999999999997</v>
      </c>
      <c r="B87" s="1" t="s">
        <v>115</v>
      </c>
      <c r="C87" s="3">
        <v>2920000</v>
      </c>
      <c r="D87" s="2">
        <v>210000</v>
      </c>
      <c r="E87" s="2">
        <v>24490</v>
      </c>
      <c r="F87" s="2">
        <f t="shared" si="47"/>
        <v>3.3009839601024398</v>
      </c>
      <c r="G87" s="2">
        <v>3450</v>
      </c>
      <c r="H87" s="2">
        <f t="shared" si="48"/>
        <v>0.61574156701766902</v>
      </c>
      <c r="I87" s="2">
        <v>3350</v>
      </c>
      <c r="J87" s="2">
        <f t="shared" si="49"/>
        <v>0.59789398536498306</v>
      </c>
      <c r="K87" s="2">
        <v>1149</v>
      </c>
      <c r="L87" s="2">
        <f t="shared" si="50"/>
        <v>0.22368640533778147</v>
      </c>
      <c r="M87" s="2">
        <v>57.8</v>
      </c>
      <c r="N87" s="2">
        <v>18.8</v>
      </c>
      <c r="O87" s="2">
        <v>179</v>
      </c>
      <c r="P87" s="2">
        <v>19.5</v>
      </c>
      <c r="Q87" s="2">
        <v>52.2</v>
      </c>
      <c r="R87" s="2">
        <v>200.8</v>
      </c>
      <c r="S87" s="2">
        <v>206</v>
      </c>
      <c r="T87" s="2">
        <v>44.2</v>
      </c>
      <c r="U87" s="2">
        <v>4.2</v>
      </c>
      <c r="V87" s="2">
        <v>871</v>
      </c>
      <c r="W87" s="2">
        <v>68.400000000000006</v>
      </c>
      <c r="X87" s="2">
        <v>131.9</v>
      </c>
      <c r="Y87" s="2">
        <v>14.45</v>
      </c>
      <c r="Z87" s="2">
        <v>51.1</v>
      </c>
      <c r="AA87" s="2">
        <v>9.8000000000000007</v>
      </c>
      <c r="AB87" s="2">
        <v>1.04</v>
      </c>
      <c r="AC87" s="2">
        <v>7.61</v>
      </c>
      <c r="AD87" s="2">
        <v>1.49</v>
      </c>
      <c r="AE87" s="2">
        <v>8.26</v>
      </c>
      <c r="AF87" s="2">
        <v>1.85</v>
      </c>
      <c r="AG87" s="2">
        <v>5.58</v>
      </c>
      <c r="AH87" s="2">
        <v>0.69</v>
      </c>
      <c r="AI87" s="2">
        <v>5.4</v>
      </c>
      <c r="AJ87" s="2">
        <v>0.83499999999999996</v>
      </c>
      <c r="AK87" s="2">
        <v>6.92</v>
      </c>
      <c r="AL87" s="2">
        <v>2.83</v>
      </c>
      <c r="AM87" s="2">
        <v>24.4</v>
      </c>
      <c r="AN87" s="2">
        <v>24</v>
      </c>
      <c r="AO87" s="2">
        <v>7.18</v>
      </c>
    </row>
    <row r="88" spans="1:43" s="36" customFormat="1">
      <c r="B88" s="13" t="s">
        <v>60</v>
      </c>
      <c r="C88" s="14">
        <f>AVERAGE(C76:C87)</f>
        <v>2969166.6666666665</v>
      </c>
      <c r="D88" s="14">
        <f t="shared" ref="D88:AO88" si="51">AVERAGE(D76:D87)</f>
        <v>185000</v>
      </c>
      <c r="E88" s="14">
        <f t="shared" si="51"/>
        <v>24045.833333333332</v>
      </c>
      <c r="F88" s="14">
        <f t="shared" si="51"/>
        <v>3.241115154782765</v>
      </c>
      <c r="G88" s="14">
        <f t="shared" si="51"/>
        <v>3357.5</v>
      </c>
      <c r="H88" s="14">
        <f t="shared" si="51"/>
        <v>0.59923255398893449</v>
      </c>
      <c r="I88" s="14">
        <f t="shared" si="51"/>
        <v>3336.9166666666665</v>
      </c>
      <c r="J88" s="14">
        <f t="shared" si="51"/>
        <v>0.59555892676542332</v>
      </c>
      <c r="K88" s="14">
        <f t="shared" si="51"/>
        <v>1227.8333333333333</v>
      </c>
      <c r="L88" s="14">
        <f t="shared" si="51"/>
        <v>0.23860161245482339</v>
      </c>
      <c r="M88" s="14">
        <f t="shared" si="51"/>
        <v>60.066666666666663</v>
      </c>
      <c r="N88" s="14">
        <f t="shared" si="51"/>
        <v>19.084166666666668</v>
      </c>
      <c r="O88" s="14">
        <f t="shared" si="51"/>
        <v>178.4666666666667</v>
      </c>
      <c r="P88" s="14">
        <f t="shared" si="51"/>
        <v>20.281666666666666</v>
      </c>
      <c r="Q88" s="14">
        <f t="shared" si="51"/>
        <v>52.841666666666669</v>
      </c>
      <c r="R88" s="14">
        <f t="shared" si="51"/>
        <v>199.64166666666665</v>
      </c>
      <c r="S88" s="14">
        <f t="shared" si="51"/>
        <v>198.65</v>
      </c>
      <c r="T88" s="14">
        <f t="shared" si="51"/>
        <v>44.333333333333336</v>
      </c>
      <c r="U88" s="14">
        <f t="shared" si="51"/>
        <v>4.0925000000000002</v>
      </c>
      <c r="V88" s="14">
        <f t="shared" si="51"/>
        <v>881.75</v>
      </c>
      <c r="W88" s="14">
        <f t="shared" si="51"/>
        <v>70.13333333333334</v>
      </c>
      <c r="X88" s="14">
        <f t="shared" si="51"/>
        <v>133.51666666666668</v>
      </c>
      <c r="Y88" s="14">
        <f t="shared" si="51"/>
        <v>14.547499999999999</v>
      </c>
      <c r="Z88" s="14">
        <f t="shared" si="51"/>
        <v>52.141666666666673</v>
      </c>
      <c r="AA88" s="14">
        <f t="shared" si="51"/>
        <v>10.185833333333333</v>
      </c>
      <c r="AB88" s="14">
        <f t="shared" si="51"/>
        <v>0.94916666666666671</v>
      </c>
      <c r="AC88" s="14">
        <f t="shared" si="51"/>
        <v>8.5916666666666668</v>
      </c>
      <c r="AD88" s="14">
        <f t="shared" si="51"/>
        <v>1.4324999999999999</v>
      </c>
      <c r="AE88" s="14">
        <f t="shared" si="51"/>
        <v>8.9250000000000007</v>
      </c>
      <c r="AF88" s="14">
        <f t="shared" si="51"/>
        <v>1.8716666666666664</v>
      </c>
      <c r="AG88" s="14">
        <f t="shared" si="51"/>
        <v>5.6774999999999993</v>
      </c>
      <c r="AH88" s="14">
        <f t="shared" si="51"/>
        <v>0.82341666666666669</v>
      </c>
      <c r="AI88" s="14">
        <f t="shared" si="51"/>
        <v>5.7141666666666673</v>
      </c>
      <c r="AJ88" s="14">
        <f t="shared" si="51"/>
        <v>0.81108333333333338</v>
      </c>
      <c r="AK88" s="14">
        <f t="shared" si="51"/>
        <v>7.1524999999999999</v>
      </c>
      <c r="AL88" s="14">
        <f t="shared" si="51"/>
        <v>2.8250000000000006</v>
      </c>
      <c r="AM88" s="14">
        <f t="shared" si="51"/>
        <v>25.891666666666662</v>
      </c>
      <c r="AN88" s="14">
        <f t="shared" si="51"/>
        <v>25.5</v>
      </c>
      <c r="AO88" s="14">
        <f t="shared" si="51"/>
        <v>7.4516666666666653</v>
      </c>
    </row>
    <row r="89" spans="1:43" s="36" customFormat="1">
      <c r="B89" s="13" t="s">
        <v>61</v>
      </c>
      <c r="C89" s="14">
        <f>STDEV(C76:C87)</f>
        <v>107149.71118048152</v>
      </c>
      <c r="D89" s="14">
        <f t="shared" ref="D89:AO89" si="52">STDEV(D76:D87)</f>
        <v>50900.973378797884</v>
      </c>
      <c r="E89" s="14">
        <f t="shared" si="52"/>
        <v>475.59452426952049</v>
      </c>
      <c r="F89" s="14">
        <f t="shared" si="52"/>
        <v>6.4104936550683514E-2</v>
      </c>
      <c r="G89" s="14">
        <f t="shared" si="52"/>
        <v>151.78483574994033</v>
      </c>
      <c r="H89" s="14">
        <f t="shared" si="52"/>
        <v>2.7089922496866006E-2</v>
      </c>
      <c r="I89" s="14">
        <f t="shared" si="52"/>
        <v>91.428519852528737</v>
      </c>
      <c r="J89" s="14">
        <f t="shared" si="52"/>
        <v>1.631777973452235E-2</v>
      </c>
      <c r="K89" s="14">
        <f t="shared" si="52"/>
        <v>81.901085943886471</v>
      </c>
      <c r="L89" s="14">
        <f t="shared" si="52"/>
        <v>1.4027996938628492E-2</v>
      </c>
      <c r="M89" s="14">
        <f t="shared" si="52"/>
        <v>2.5839833004432702</v>
      </c>
      <c r="N89" s="14">
        <f t="shared" si="52"/>
        <v>0.60083969021140171</v>
      </c>
      <c r="O89" s="14">
        <f t="shared" si="52"/>
        <v>3.737605780402339</v>
      </c>
      <c r="P89" s="14">
        <f t="shared" si="52"/>
        <v>0.69403737564188783</v>
      </c>
      <c r="Q89" s="14">
        <f t="shared" si="52"/>
        <v>1.3885625879325927</v>
      </c>
      <c r="R89" s="14">
        <f t="shared" si="52"/>
        <v>4.5518144900155075</v>
      </c>
      <c r="S89" s="14">
        <f t="shared" si="52"/>
        <v>6.403337198112192</v>
      </c>
      <c r="T89" s="14">
        <f t="shared" si="52"/>
        <v>1.3566893751356865</v>
      </c>
      <c r="U89" s="14">
        <f t="shared" si="52"/>
        <v>0.14598412117885845</v>
      </c>
      <c r="V89" s="14">
        <f t="shared" si="52"/>
        <v>21.996384000351263</v>
      </c>
      <c r="W89" s="14">
        <f t="shared" si="52"/>
        <v>2.2374227597976661</v>
      </c>
      <c r="X89" s="14">
        <f t="shared" si="52"/>
        <v>4.1437430012738545</v>
      </c>
      <c r="Y89" s="14">
        <f t="shared" si="52"/>
        <v>0.44760219757361275</v>
      </c>
      <c r="Z89" s="14">
        <f t="shared" si="52"/>
        <v>1.7712134173207268</v>
      </c>
      <c r="AA89" s="14">
        <f t="shared" si="52"/>
        <v>0.77626680433672535</v>
      </c>
      <c r="AB89" s="14">
        <f t="shared" si="52"/>
        <v>0.10219930024073953</v>
      </c>
      <c r="AC89" s="14">
        <f t="shared" si="52"/>
        <v>0.67496576793107632</v>
      </c>
      <c r="AD89" s="14">
        <f t="shared" si="52"/>
        <v>9.98293999326305E-2</v>
      </c>
      <c r="AE89" s="14">
        <f t="shared" si="52"/>
        <v>0.46664177422788189</v>
      </c>
      <c r="AF89" s="14">
        <f t="shared" si="52"/>
        <v>0.13529989137490314</v>
      </c>
      <c r="AG89" s="14">
        <f t="shared" si="52"/>
        <v>0.38626710023929389</v>
      </c>
      <c r="AH89" s="14">
        <f t="shared" si="52"/>
        <v>0.10335328497513488</v>
      </c>
      <c r="AI89" s="14">
        <f t="shared" si="52"/>
        <v>0.41456347980481684</v>
      </c>
      <c r="AJ89" s="14">
        <f t="shared" si="52"/>
        <v>4.0560747557512315E-2</v>
      </c>
      <c r="AK89" s="14">
        <f t="shared" si="52"/>
        <v>0.31786575210871071</v>
      </c>
      <c r="AL89" s="14">
        <f t="shared" si="52"/>
        <v>8.3828829929044835E-2</v>
      </c>
      <c r="AM89" s="14">
        <f t="shared" si="52"/>
        <v>1.1309355204940519</v>
      </c>
      <c r="AN89" s="14">
        <f t="shared" si="52"/>
        <v>0.89137279212765641</v>
      </c>
      <c r="AO89" s="14">
        <f t="shared" si="52"/>
        <v>0.33305291234913781</v>
      </c>
    </row>
    <row r="90" spans="1:43" s="38" customFormat="1" ht="14.45">
      <c r="A90" s="26"/>
      <c r="B90" s="5" t="s">
        <v>62</v>
      </c>
      <c r="C90" s="17" t="s">
        <v>116</v>
      </c>
      <c r="D90" s="18"/>
      <c r="E90" s="9"/>
      <c r="F90" s="7">
        <v>3.39</v>
      </c>
      <c r="G90" s="9"/>
      <c r="H90" s="7">
        <v>0.47</v>
      </c>
      <c r="I90" s="9"/>
      <c r="J90" s="7">
        <v>0.47</v>
      </c>
      <c r="K90" s="9"/>
      <c r="L90" s="7">
        <v>0.18</v>
      </c>
      <c r="M90" s="8"/>
      <c r="N90" s="9"/>
      <c r="O90" s="37">
        <v>187.16428571428574</v>
      </c>
      <c r="P90" s="37">
        <v>21.539523809523814</v>
      </c>
      <c r="Q90" s="37">
        <v>49.354761904761894</v>
      </c>
      <c r="R90" s="37">
        <v>191.32380952380956</v>
      </c>
      <c r="S90" s="37"/>
      <c r="T90" s="37">
        <v>45.463095238095235</v>
      </c>
      <c r="U90" s="37">
        <v>4.2047619047619058</v>
      </c>
      <c r="V90" s="37">
        <v>876.88095238095241</v>
      </c>
      <c r="W90" s="37">
        <v>67.619047619047606</v>
      </c>
      <c r="X90" s="37">
        <v>134.24047619047622</v>
      </c>
      <c r="Y90" s="37">
        <v>14.138333333333332</v>
      </c>
      <c r="Z90" s="37">
        <v>50.743571428571428</v>
      </c>
      <c r="AA90" s="37">
        <v>9.6835714285714296</v>
      </c>
      <c r="AB90" s="37">
        <v>0.91907142857142854</v>
      </c>
      <c r="AC90" s="37">
        <v>8.3523809523809529</v>
      </c>
      <c r="AD90" s="37">
        <v>1.338904761904762</v>
      </c>
      <c r="AE90" s="37">
        <v>8.8161904761904761</v>
      </c>
      <c r="AF90" s="37">
        <v>1.8200476190476189</v>
      </c>
      <c r="AG90" s="37">
        <v>5.2745238095238101</v>
      </c>
      <c r="AH90" s="37">
        <v>0.77883333333333327</v>
      </c>
      <c r="AI90" s="37">
        <v>5.218571428571428</v>
      </c>
      <c r="AJ90" s="37">
        <v>0.75630952380952376</v>
      </c>
      <c r="AK90" s="37">
        <v>6.5528571428571425</v>
      </c>
      <c r="AL90" s="37">
        <v>3.0540476190476187</v>
      </c>
      <c r="AM90" s="37">
        <v>27.315476190476197</v>
      </c>
      <c r="AN90" s="37">
        <v>24.770952380952377</v>
      </c>
      <c r="AO90" s="37">
        <v>7.607857142857144</v>
      </c>
    </row>
    <row r="91" spans="1:43" s="38" customFormat="1" ht="14.45">
      <c r="A91" s="26"/>
      <c r="B91" s="5" t="s">
        <v>64</v>
      </c>
      <c r="C91" s="20" t="s">
        <v>117</v>
      </c>
      <c r="D91" s="18"/>
      <c r="E91" s="9"/>
      <c r="F91" s="7">
        <v>0.129</v>
      </c>
      <c r="G91" s="9"/>
      <c r="H91" s="7">
        <v>0.03</v>
      </c>
      <c r="I91" s="9"/>
      <c r="J91" s="7">
        <v>0.03</v>
      </c>
      <c r="K91" s="9"/>
      <c r="L91" s="7">
        <v>7.3999999999999996E-2</v>
      </c>
      <c r="M91" s="8"/>
      <c r="N91" s="9"/>
      <c r="O91" s="37">
        <v>2.4927036383355805</v>
      </c>
      <c r="P91" s="37">
        <v>8.8483871900631019</v>
      </c>
      <c r="Q91" s="37">
        <v>2.6003941897197032</v>
      </c>
      <c r="R91" s="37">
        <v>3.0316870875768593</v>
      </c>
      <c r="S91" s="37"/>
      <c r="T91" s="37">
        <v>0.96037972189164489</v>
      </c>
      <c r="U91" s="37">
        <v>0.14298623667755661</v>
      </c>
      <c r="V91" s="37">
        <v>12.589586058311381</v>
      </c>
      <c r="W91" s="37">
        <v>4.1976903112183752</v>
      </c>
      <c r="X91" s="37">
        <v>2.6471392311654802</v>
      </c>
      <c r="Y91" s="37">
        <v>0.71157303129179095</v>
      </c>
      <c r="Z91" s="37">
        <v>3.7333342329308685</v>
      </c>
      <c r="AA91" s="37">
        <v>0.62642937596045256</v>
      </c>
      <c r="AB91" s="37">
        <v>7.1271173270634619E-2</v>
      </c>
      <c r="AC91" s="37">
        <v>0.65029752861740164</v>
      </c>
      <c r="AD91" s="37">
        <v>8.9170652922499427E-2</v>
      </c>
      <c r="AE91" s="37">
        <v>0.48746208048122558</v>
      </c>
      <c r="AF91" s="37">
        <v>9.3197653163416147E-2</v>
      </c>
      <c r="AG91" s="37">
        <v>0.2192581992899359</v>
      </c>
      <c r="AH91" s="37">
        <v>4.4811211939057773E-2</v>
      </c>
      <c r="AI91" s="37">
        <v>0.23821051796904383</v>
      </c>
      <c r="AJ91" s="37">
        <v>4.1901445399854423E-2</v>
      </c>
      <c r="AK91" s="37">
        <v>0.31649980321564203</v>
      </c>
      <c r="AL91" s="37">
        <v>0.13029159649088662</v>
      </c>
      <c r="AM91" s="37">
        <v>1.0975831595383594</v>
      </c>
      <c r="AN91" s="37">
        <v>0.52550467972114845</v>
      </c>
      <c r="AO91" s="37">
        <v>0.21004686717766069</v>
      </c>
    </row>
    <row r="92" spans="1:43" customFormat="1">
      <c r="A92" s="26"/>
      <c r="B92" s="21" t="s">
        <v>118</v>
      </c>
      <c r="C92" s="34"/>
      <c r="D92" s="4"/>
      <c r="E92" s="19"/>
      <c r="F92" s="25">
        <f>F88/F90*100</f>
        <v>95.608116660258545</v>
      </c>
      <c r="G92" s="19"/>
      <c r="H92" s="25">
        <f>H88/H90*100</f>
        <v>127.49628808275202</v>
      </c>
      <c r="I92" s="19"/>
      <c r="J92" s="25">
        <f>J88/J90*100</f>
        <v>126.71466526923901</v>
      </c>
      <c r="K92" s="19"/>
      <c r="L92" s="25">
        <f>L88/L90*100</f>
        <v>132.55645136379079</v>
      </c>
      <c r="M92" s="35"/>
      <c r="N92" s="25"/>
      <c r="O92" s="25">
        <f>O88/O90*100</f>
        <v>95.352949407828618</v>
      </c>
      <c r="P92" s="25">
        <f>P88/P90*100</f>
        <v>94.160236995114161</v>
      </c>
      <c r="Q92" s="25">
        <f>Q88/Q90*100</f>
        <v>107.06498142698638</v>
      </c>
      <c r="R92" s="25">
        <f>R88/R90*100</f>
        <v>104.34752849818305</v>
      </c>
      <c r="S92" s="25"/>
      <c r="T92" s="25">
        <f t="shared" ref="T92:AO92" si="53">T88/T90*100</f>
        <v>97.514991227840483</v>
      </c>
      <c r="U92" s="25">
        <f t="shared" si="53"/>
        <v>97.330124575311416</v>
      </c>
      <c r="V92" s="25">
        <f t="shared" si="53"/>
        <v>100.55526894566782</v>
      </c>
      <c r="W92" s="25">
        <f t="shared" si="53"/>
        <v>103.71830985915496</v>
      </c>
      <c r="X92" s="25">
        <f t="shared" si="53"/>
        <v>99.46081126620669</v>
      </c>
      <c r="Y92" s="25">
        <f t="shared" si="53"/>
        <v>102.89402334079925</v>
      </c>
      <c r="Z92" s="25">
        <f t="shared" si="53"/>
        <v>102.75521647123962</v>
      </c>
      <c r="AA92" s="25">
        <f t="shared" si="53"/>
        <v>105.18674239630201</v>
      </c>
      <c r="AB92" s="25">
        <f t="shared" si="53"/>
        <v>103.27452656666927</v>
      </c>
      <c r="AC92" s="25">
        <f t="shared" si="53"/>
        <v>102.86488027366021</v>
      </c>
      <c r="AD92" s="25">
        <f t="shared" si="53"/>
        <v>106.99043283422837</v>
      </c>
      <c r="AE92" s="25">
        <f t="shared" si="53"/>
        <v>101.23420114507941</v>
      </c>
      <c r="AF92" s="25">
        <f t="shared" si="53"/>
        <v>102.83613720206168</v>
      </c>
      <c r="AG92" s="25">
        <f t="shared" si="53"/>
        <v>107.64004875186201</v>
      </c>
      <c r="AH92" s="25">
        <f t="shared" si="53"/>
        <v>105.7243740637706</v>
      </c>
      <c r="AI92" s="25">
        <f t="shared" si="53"/>
        <v>109.49676065334431</v>
      </c>
      <c r="AJ92" s="25">
        <f t="shared" si="53"/>
        <v>107.24224775696523</v>
      </c>
      <c r="AK92" s="25">
        <f t="shared" si="53"/>
        <v>109.15086112927841</v>
      </c>
      <c r="AL92" s="25">
        <f t="shared" si="53"/>
        <v>92.500194901379928</v>
      </c>
      <c r="AM92" s="25">
        <f t="shared" si="53"/>
        <v>94.787535410764832</v>
      </c>
      <c r="AN92" s="25">
        <f t="shared" si="53"/>
        <v>102.94315538553222</v>
      </c>
      <c r="AO92" s="25">
        <f t="shared" si="53"/>
        <v>97.946984633680685</v>
      </c>
    </row>
    <row r="93" spans="1:43" customFormat="1">
      <c r="A93" s="4"/>
      <c r="B93" s="28" t="s">
        <v>119</v>
      </c>
      <c r="C93" s="39"/>
      <c r="D93" s="40"/>
      <c r="E93" s="41"/>
      <c r="F93" s="41"/>
      <c r="G93" s="41"/>
      <c r="H93" s="41"/>
      <c r="I93" s="41"/>
      <c r="J93" s="41"/>
      <c r="K93" s="41"/>
      <c r="L93" s="41"/>
      <c r="M93" s="41"/>
      <c r="N93" s="42"/>
      <c r="O93" s="33">
        <v>185.36700000000002</v>
      </c>
      <c r="P93" s="33">
        <v>19.390999999999998</v>
      </c>
      <c r="Q93" s="33">
        <v>43.695</v>
      </c>
      <c r="R93" s="33">
        <v>173.40300000000005</v>
      </c>
      <c r="S93" s="33"/>
      <c r="T93" s="33">
        <v>40.219999999999992</v>
      </c>
      <c r="U93" s="33">
        <v>4.03</v>
      </c>
      <c r="V93" s="33">
        <v>812.08</v>
      </c>
      <c r="W93" s="33">
        <v>68.597000000000008</v>
      </c>
      <c r="X93" s="33">
        <v>135.14899999999997</v>
      </c>
      <c r="Y93" s="33">
        <v>13.791</v>
      </c>
      <c r="Z93" s="33">
        <v>49.370999999999995</v>
      </c>
      <c r="AA93" s="33">
        <v>9.3349999999999991</v>
      </c>
      <c r="AB93" s="33">
        <v>1.0174999999999998</v>
      </c>
      <c r="AC93" s="33">
        <v>7.5929999999999991</v>
      </c>
      <c r="AD93" s="33">
        <v>1.3013999999999999</v>
      </c>
      <c r="AE93" s="33">
        <v>7.7190000000000012</v>
      </c>
      <c r="AF93" s="33">
        <v>1.6522999999999999</v>
      </c>
      <c r="AG93" s="33">
        <v>4.5179999999999998</v>
      </c>
      <c r="AH93" s="33">
        <v>0.69070000000000009</v>
      </c>
      <c r="AI93" s="33">
        <v>4.8709999999999996</v>
      </c>
      <c r="AJ93" s="33">
        <v>0.66260000000000008</v>
      </c>
      <c r="AK93" s="33">
        <v>6.0029999999999992</v>
      </c>
      <c r="AL93" s="33">
        <v>2.419</v>
      </c>
      <c r="AM93" s="33">
        <v>25.084000000000003</v>
      </c>
      <c r="AN93" s="33">
        <v>23.157999999999998</v>
      </c>
      <c r="AO93" s="33">
        <v>7.7189999999999994</v>
      </c>
      <c r="AP93" s="43">
        <v>10</v>
      </c>
      <c r="AQ93" s="35"/>
    </row>
    <row r="94" spans="1:43" customFormat="1">
      <c r="A94" s="4"/>
      <c r="B94" s="28" t="s">
        <v>120</v>
      </c>
      <c r="C94" s="39"/>
      <c r="D94" s="40"/>
      <c r="E94" s="41"/>
      <c r="F94" s="41"/>
      <c r="G94" s="41"/>
      <c r="H94" s="41"/>
      <c r="I94" s="41"/>
      <c r="J94" s="41"/>
      <c r="K94" s="41"/>
      <c r="L94" s="41"/>
      <c r="M94" s="41"/>
      <c r="N94" s="42"/>
      <c r="O94" s="33">
        <v>2.516156902014576</v>
      </c>
      <c r="P94" s="33">
        <v>0.85258365506787037</v>
      </c>
      <c r="Q94" s="33">
        <v>2.3156052724455822</v>
      </c>
      <c r="R94" s="33">
        <v>8.9465251479120251</v>
      </c>
      <c r="S94" s="33"/>
      <c r="T94" s="33">
        <v>0.54440589432681352</v>
      </c>
      <c r="U94" s="33">
        <v>0.19194906731850628</v>
      </c>
      <c r="V94" s="33">
        <v>14.870007098556181</v>
      </c>
      <c r="W94" s="33">
        <v>2.3216328066446894</v>
      </c>
      <c r="X94" s="33">
        <v>1.8426578026800837</v>
      </c>
      <c r="Y94" s="33">
        <v>0.3222645566059732</v>
      </c>
      <c r="Z94" s="33">
        <v>1.8732648267426348</v>
      </c>
      <c r="AA94" s="33">
        <v>0.44917826206430672</v>
      </c>
      <c r="AB94" s="33">
        <v>8.314812752618729E-2</v>
      </c>
      <c r="AC94" s="33">
        <v>0.45573018333219928</v>
      </c>
      <c r="AD94" s="33">
        <v>8.9646466126049221E-2</v>
      </c>
      <c r="AE94" s="33">
        <v>0.34658492626066584</v>
      </c>
      <c r="AF94" s="33">
        <v>8.7625529004584798E-2</v>
      </c>
      <c r="AG94" s="33">
        <v>0.34959659291500211</v>
      </c>
      <c r="AH94" s="33">
        <v>5.6178386512173092E-2</v>
      </c>
      <c r="AI94" s="33">
        <v>0.30267143902258103</v>
      </c>
      <c r="AJ94" s="33">
        <v>4.6676665595467633E-2</v>
      </c>
      <c r="AK94" s="33">
        <v>0.26940469351681462</v>
      </c>
      <c r="AL94" s="33">
        <v>0.11049886877249016</v>
      </c>
      <c r="AM94" s="33">
        <v>0.51021128520991732</v>
      </c>
      <c r="AN94" s="33">
        <v>1.0362946813849172</v>
      </c>
      <c r="AO94" s="33">
        <v>0.35815732111275694</v>
      </c>
      <c r="AP94" s="44"/>
      <c r="AQ94" s="35"/>
    </row>
    <row r="95" spans="1:43" customFormat="1">
      <c r="A95" s="26"/>
      <c r="B95" s="21" t="s">
        <v>118</v>
      </c>
      <c r="C95" s="34"/>
      <c r="D95" s="4"/>
      <c r="E95" s="19"/>
      <c r="F95" s="19"/>
      <c r="G95" s="19"/>
      <c r="H95" s="19"/>
      <c r="I95" s="19"/>
      <c r="J95" s="19"/>
      <c r="K95" s="19"/>
      <c r="L95" s="19"/>
      <c r="M95" s="35"/>
      <c r="N95" s="25"/>
      <c r="O95" s="25">
        <f>O88/O93*100</f>
        <v>96.277474775265645</v>
      </c>
      <c r="P95" s="25">
        <f>P88/P93*100</f>
        <v>104.59319615629245</v>
      </c>
      <c r="Q95" s="25">
        <f>Q88/Q93*100</f>
        <v>120.93298241598961</v>
      </c>
      <c r="R95" s="25">
        <f>R88/R93*100</f>
        <v>115.13161056421551</v>
      </c>
      <c r="S95" s="25"/>
      <c r="T95" s="25">
        <f t="shared" ref="T95:AO95" si="54">T88/T93*100</f>
        <v>110.22708436930219</v>
      </c>
      <c r="U95" s="25">
        <f t="shared" si="54"/>
        <v>101.55086848635236</v>
      </c>
      <c r="V95" s="25">
        <f t="shared" si="54"/>
        <v>108.57920401930843</v>
      </c>
      <c r="W95" s="25">
        <f t="shared" si="54"/>
        <v>102.23965090796001</v>
      </c>
      <c r="X95" s="25">
        <f t="shared" si="54"/>
        <v>98.792197253895111</v>
      </c>
      <c r="Y95" s="25">
        <f t="shared" si="54"/>
        <v>105.48546153288376</v>
      </c>
      <c r="Z95" s="25">
        <f t="shared" si="54"/>
        <v>105.61193143073196</v>
      </c>
      <c r="AA95" s="25">
        <f t="shared" si="54"/>
        <v>109.11444384931264</v>
      </c>
      <c r="AB95" s="25">
        <f t="shared" si="54"/>
        <v>93.284193284193307</v>
      </c>
      <c r="AC95" s="25">
        <f t="shared" si="54"/>
        <v>113.15246498968349</v>
      </c>
      <c r="AD95" s="25">
        <f t="shared" si="54"/>
        <v>110.07376671277088</v>
      </c>
      <c r="AE95" s="25">
        <f t="shared" si="54"/>
        <v>115.62378546443838</v>
      </c>
      <c r="AF95" s="25">
        <f t="shared" si="54"/>
        <v>113.27644293812665</v>
      </c>
      <c r="AG95" s="25">
        <f t="shared" si="54"/>
        <v>125.66401062416999</v>
      </c>
      <c r="AH95" s="25">
        <f t="shared" si="54"/>
        <v>119.21480623522029</v>
      </c>
      <c r="AI95" s="25">
        <f t="shared" si="54"/>
        <v>117.30992951481561</v>
      </c>
      <c r="AJ95" s="25">
        <f t="shared" si="54"/>
        <v>122.40919609618672</v>
      </c>
      <c r="AK95" s="25">
        <f t="shared" si="54"/>
        <v>119.14875895385642</v>
      </c>
      <c r="AL95" s="25">
        <f t="shared" si="54"/>
        <v>116.78379495659365</v>
      </c>
      <c r="AM95" s="25">
        <f t="shared" si="54"/>
        <v>103.21984797746235</v>
      </c>
      <c r="AN95" s="25">
        <f t="shared" si="54"/>
        <v>110.11313584938252</v>
      </c>
      <c r="AO95" s="25">
        <f t="shared" si="54"/>
        <v>96.536684371896172</v>
      </c>
    </row>
    <row r="96" spans="1:43" customFormat="1">
      <c r="A96" s="4"/>
      <c r="B96" s="28" t="s">
        <v>121</v>
      </c>
      <c r="C96" s="39"/>
      <c r="D96" s="40"/>
      <c r="E96" s="41"/>
      <c r="F96" s="41"/>
      <c r="G96" s="41"/>
      <c r="H96" s="41"/>
      <c r="I96" s="41"/>
      <c r="J96" s="41"/>
      <c r="K96" s="41"/>
      <c r="L96" s="41"/>
      <c r="M96" s="41"/>
      <c r="N96" s="42"/>
      <c r="O96" s="33">
        <v>187.26789473684212</v>
      </c>
      <c r="P96" s="33">
        <v>19.736842105263154</v>
      </c>
      <c r="Q96" s="33">
        <v>45.215263157894732</v>
      </c>
      <c r="R96" s="33">
        <v>177.39052631578946</v>
      </c>
      <c r="S96" s="33"/>
      <c r="T96" s="33">
        <v>40.128421052631573</v>
      </c>
      <c r="U96" s="33">
        <v>4.0142105263157903</v>
      </c>
      <c r="V96" s="33">
        <v>817.00999999999988</v>
      </c>
      <c r="W96" s="33">
        <v>69.378421052631609</v>
      </c>
      <c r="X96" s="33">
        <v>135.22105263157894</v>
      </c>
      <c r="Y96" s="33">
        <v>13.844210526315791</v>
      </c>
      <c r="Z96" s="33">
        <v>49.502105263157894</v>
      </c>
      <c r="AA96" s="33">
        <v>9.4036842105263148</v>
      </c>
      <c r="AB96" s="33">
        <v>1.0044736842105264</v>
      </c>
      <c r="AC96" s="33">
        <v>7.74</v>
      </c>
      <c r="AD96" s="33">
        <v>1.327368421052632</v>
      </c>
      <c r="AE96" s="33">
        <v>7.9226315789473674</v>
      </c>
      <c r="AF96" s="33">
        <v>1.6780000000000002</v>
      </c>
      <c r="AG96" s="33">
        <v>4.6278947368421059</v>
      </c>
      <c r="AH96" s="33">
        <v>0.70326315789473681</v>
      </c>
      <c r="AI96" s="33">
        <v>4.9878947368421045</v>
      </c>
      <c r="AJ96" s="33">
        <v>0.6912105263157895</v>
      </c>
      <c r="AK96" s="33">
        <v>6.1252631578947367</v>
      </c>
      <c r="AL96" s="33">
        <v>2.4007368421052635</v>
      </c>
      <c r="AM96" s="33">
        <v>24.842105263157897</v>
      </c>
      <c r="AN96" s="33">
        <v>23.453684210526315</v>
      </c>
      <c r="AO96" s="33">
        <v>7.625263157894735</v>
      </c>
      <c r="AP96" s="43">
        <v>19</v>
      </c>
      <c r="AQ96" s="35"/>
    </row>
    <row r="97" spans="1:43" customFormat="1">
      <c r="A97" s="4"/>
      <c r="B97" s="28" t="s">
        <v>122</v>
      </c>
      <c r="C97" s="39"/>
      <c r="D97" s="40"/>
      <c r="E97" s="41"/>
      <c r="F97" s="41"/>
      <c r="G97" s="41"/>
      <c r="H97" s="41"/>
      <c r="I97" s="41"/>
      <c r="J97" s="41"/>
      <c r="K97" s="41"/>
      <c r="L97" s="41"/>
      <c r="M97" s="41"/>
      <c r="N97" s="42"/>
      <c r="O97" s="33">
        <v>3.7529537684721417</v>
      </c>
      <c r="P97" s="33">
        <v>0.81244522982296996</v>
      </c>
      <c r="Q97" s="33">
        <v>2.4938153910581726</v>
      </c>
      <c r="R97" s="33">
        <v>8.0988075073399806</v>
      </c>
      <c r="S97" s="33"/>
      <c r="T97" s="33">
        <v>0.5741395799893857</v>
      </c>
      <c r="U97" s="33">
        <v>0.15830055062280177</v>
      </c>
      <c r="V97" s="33">
        <v>14.85706865062039</v>
      </c>
      <c r="W97" s="33">
        <v>2.0779537561891703</v>
      </c>
      <c r="X97" s="33">
        <v>1.9521580501167739</v>
      </c>
      <c r="Y97" s="33">
        <v>0.28345714529071075</v>
      </c>
      <c r="Z97" s="33">
        <v>1.4618047405227961</v>
      </c>
      <c r="AA97" s="33">
        <v>0.37861165278651976</v>
      </c>
      <c r="AB97" s="33">
        <v>7.6413617475372522E-2</v>
      </c>
      <c r="AC97" s="33">
        <v>0.41366921836440212</v>
      </c>
      <c r="AD97" s="33">
        <v>7.3341068172621315E-2</v>
      </c>
      <c r="AE97" s="33">
        <v>0.37371769061781435</v>
      </c>
      <c r="AF97" s="33">
        <v>7.3421916195216694E-2</v>
      </c>
      <c r="AG97" s="33">
        <v>0.30332562164864191</v>
      </c>
      <c r="AH97" s="33">
        <v>4.9651946482224846E-2</v>
      </c>
      <c r="AI97" s="33">
        <v>0.2846162903780316</v>
      </c>
      <c r="AJ97" s="33">
        <v>5.1852974785945978E-2</v>
      </c>
      <c r="AK97" s="33">
        <v>0.26746481432255148</v>
      </c>
      <c r="AL97" s="33">
        <v>8.9737173088507635E-2</v>
      </c>
      <c r="AM97" s="33">
        <v>0.70510502722296475</v>
      </c>
      <c r="AN97" s="33">
        <v>0.98391062447716604</v>
      </c>
      <c r="AO97" s="33">
        <v>0.31768902371581009</v>
      </c>
      <c r="AP97" s="44"/>
      <c r="AQ97" s="35"/>
    </row>
    <row r="98" spans="1:43" customFormat="1">
      <c r="A98" s="26"/>
      <c r="B98" s="21" t="s">
        <v>118</v>
      </c>
      <c r="C98" s="34"/>
      <c r="D98" s="4"/>
      <c r="E98" s="19"/>
      <c r="F98" s="19"/>
      <c r="G98" s="19"/>
      <c r="H98" s="19"/>
      <c r="I98" s="19"/>
      <c r="J98" s="19"/>
      <c r="K98" s="19"/>
      <c r="L98" s="19"/>
      <c r="M98" s="35"/>
      <c r="N98" s="25"/>
      <c r="O98" s="25">
        <f>O88/O96*100</f>
        <v>95.300193830585144</v>
      </c>
      <c r="P98" s="25">
        <f>P88/P96*100</f>
        <v>102.76044444444446</v>
      </c>
      <c r="Q98" s="25">
        <f>Q88/Q96*100</f>
        <v>116.86687851874271</v>
      </c>
      <c r="R98" s="25">
        <f>R88/R96*100</f>
        <v>112.54359001746568</v>
      </c>
      <c r="S98" s="25"/>
      <c r="T98" s="25">
        <f t="shared" ref="T98:AO98" si="55">T88/T96*100</f>
        <v>110.47863875627375</v>
      </c>
      <c r="U98" s="25">
        <f t="shared" si="55"/>
        <v>101.95030811590402</v>
      </c>
      <c r="V98" s="25">
        <f t="shared" si="55"/>
        <v>107.92401561792391</v>
      </c>
      <c r="W98" s="25">
        <f t="shared" si="55"/>
        <v>101.08810818875374</v>
      </c>
      <c r="X98" s="25">
        <f t="shared" si="55"/>
        <v>98.739555763142889</v>
      </c>
      <c r="Y98" s="25">
        <f t="shared" si="55"/>
        <v>105.0800258515815</v>
      </c>
      <c r="Z98" s="25">
        <f t="shared" si="55"/>
        <v>105.33222049744475</v>
      </c>
      <c r="AA98" s="25">
        <f t="shared" si="55"/>
        <v>108.31747542023471</v>
      </c>
      <c r="AB98" s="25">
        <f t="shared" si="55"/>
        <v>94.493930661077627</v>
      </c>
      <c r="AC98" s="25">
        <f t="shared" si="55"/>
        <v>111.00344530577088</v>
      </c>
      <c r="AD98" s="25">
        <f t="shared" si="55"/>
        <v>107.92030134813635</v>
      </c>
      <c r="AE98" s="25">
        <f t="shared" si="55"/>
        <v>112.65196306384111</v>
      </c>
      <c r="AF98" s="25">
        <f t="shared" si="55"/>
        <v>111.54151767977748</v>
      </c>
      <c r="AG98" s="25">
        <f t="shared" si="55"/>
        <v>122.67997270556121</v>
      </c>
      <c r="AH98" s="25">
        <f t="shared" si="55"/>
        <v>117.08514194481864</v>
      </c>
      <c r="AI98" s="25">
        <f t="shared" si="55"/>
        <v>114.56069079525872</v>
      </c>
      <c r="AJ98" s="25">
        <f t="shared" si="55"/>
        <v>117.3424452397269</v>
      </c>
      <c r="AK98" s="25">
        <f t="shared" si="55"/>
        <v>116.77049321189207</v>
      </c>
      <c r="AL98" s="25">
        <f t="shared" si="55"/>
        <v>117.67220590169684</v>
      </c>
      <c r="AM98" s="25">
        <f t="shared" si="55"/>
        <v>104.22492937853104</v>
      </c>
      <c r="AN98" s="25">
        <f t="shared" si="55"/>
        <v>108.72492257977649</v>
      </c>
      <c r="AO98" s="25">
        <f t="shared" si="55"/>
        <v>97.723403276274624</v>
      </c>
    </row>
    <row r="99" spans="1:43" customFormat="1">
      <c r="A99" s="4"/>
      <c r="B99" s="45" t="s">
        <v>123</v>
      </c>
      <c r="C99" s="39"/>
      <c r="D99" s="40"/>
      <c r="E99" s="41"/>
      <c r="F99" s="41"/>
      <c r="G99" s="41"/>
      <c r="H99" s="41"/>
      <c r="I99" s="41"/>
      <c r="J99" s="41"/>
      <c r="K99" s="41"/>
      <c r="L99" s="41"/>
      <c r="M99" s="41"/>
      <c r="N99" s="42"/>
      <c r="O99" s="42">
        <v>180.58999999999997</v>
      </c>
      <c r="P99" s="42">
        <v>19.685000000000006</v>
      </c>
      <c r="Q99" s="42">
        <v>49.945000000000007</v>
      </c>
      <c r="R99" s="42">
        <v>191.01</v>
      </c>
      <c r="S99" s="42"/>
      <c r="T99" s="42">
        <v>44.234999999999999</v>
      </c>
      <c r="U99" s="42">
        <v>4.0074999999999994</v>
      </c>
      <c r="V99" s="42">
        <v>846.55</v>
      </c>
      <c r="W99" s="42">
        <v>67.000000000000014</v>
      </c>
      <c r="X99" s="42">
        <v>134.64500000000001</v>
      </c>
      <c r="Y99" s="42">
        <v>14.059999999999999</v>
      </c>
      <c r="Z99" s="42">
        <v>50.559999999999988</v>
      </c>
      <c r="AA99" s="42">
        <v>9.7799999999999976</v>
      </c>
      <c r="AB99" s="42">
        <v>0.90250000000000008</v>
      </c>
      <c r="AC99" s="42">
        <v>8.1460000000000026</v>
      </c>
      <c r="AD99" s="42">
        <v>1.3810000000000002</v>
      </c>
      <c r="AE99" s="42">
        <v>8.6534999999999975</v>
      </c>
      <c r="AF99" s="42">
        <v>1.8260000000000001</v>
      </c>
      <c r="AG99" s="42">
        <v>5.51</v>
      </c>
      <c r="AH99" s="42">
        <v>0.81650000000000011</v>
      </c>
      <c r="AI99" s="42">
        <v>5.3149999999999995</v>
      </c>
      <c r="AJ99" s="42">
        <v>0.75549999999999995</v>
      </c>
      <c r="AK99" s="42">
        <v>6.650500000000001</v>
      </c>
      <c r="AL99" s="42">
        <v>2.8</v>
      </c>
      <c r="AM99" s="42">
        <v>25.879999999999995</v>
      </c>
      <c r="AN99" s="42">
        <v>25.023999999999997</v>
      </c>
      <c r="AO99" s="42">
        <v>7.6909999999999998</v>
      </c>
      <c r="AP99" s="46">
        <v>20</v>
      </c>
      <c r="AQ99" s="35"/>
    </row>
    <row r="100" spans="1:43" customFormat="1">
      <c r="A100" s="4"/>
      <c r="B100" s="28" t="s">
        <v>124</v>
      </c>
      <c r="C100" s="39"/>
      <c r="D100" s="40"/>
      <c r="E100" s="41"/>
      <c r="F100" s="41"/>
      <c r="G100" s="41"/>
      <c r="H100" s="41"/>
      <c r="I100" s="41"/>
      <c r="J100" s="41"/>
      <c r="K100" s="41"/>
      <c r="L100" s="41"/>
      <c r="M100" s="41"/>
      <c r="N100" s="42"/>
      <c r="O100" s="42">
        <v>3.7278327272163478</v>
      </c>
      <c r="P100" s="42">
        <v>0.72956006931358419</v>
      </c>
      <c r="Q100" s="42">
        <v>1.4936620487210197</v>
      </c>
      <c r="R100" s="42">
        <v>5.6891309113357389</v>
      </c>
      <c r="S100" s="42"/>
      <c r="T100" s="42">
        <v>1.3933205321329181</v>
      </c>
      <c r="U100" s="42">
        <v>0.19806631000221808</v>
      </c>
      <c r="V100" s="42">
        <v>16.356151265212922</v>
      </c>
      <c r="W100" s="42">
        <v>1.9037359392299646</v>
      </c>
      <c r="X100" s="42">
        <v>2.3130010125831171</v>
      </c>
      <c r="Y100" s="42">
        <v>0.28806066612507336</v>
      </c>
      <c r="Z100" s="42">
        <v>2.0301412966122641</v>
      </c>
      <c r="AA100" s="42">
        <v>1.0349675814907782</v>
      </c>
      <c r="AB100" s="42">
        <v>0.11543396380615169</v>
      </c>
      <c r="AC100" s="42">
        <v>0.90414484168014564</v>
      </c>
      <c r="AD100" s="42">
        <v>0.11125598742019285</v>
      </c>
      <c r="AE100" s="42">
        <v>0.47557472156273561</v>
      </c>
      <c r="AF100" s="42">
        <v>0.2049492876940921</v>
      </c>
      <c r="AG100" s="42">
        <v>0.40373258476372698</v>
      </c>
      <c r="AH100" s="42">
        <v>0.11939650880904948</v>
      </c>
      <c r="AI100" s="42">
        <v>0.61754607754785162</v>
      </c>
      <c r="AJ100" s="42">
        <v>7.1264887641294405E-2</v>
      </c>
      <c r="AK100" s="42">
        <v>0.57633574827251699</v>
      </c>
      <c r="AL100" s="42">
        <v>0.11163851438789772</v>
      </c>
      <c r="AM100" s="42">
        <v>0.80433038511612431</v>
      </c>
      <c r="AN100" s="42">
        <v>0.61945986659007191</v>
      </c>
      <c r="AO100" s="42">
        <v>0.25943055048763208</v>
      </c>
      <c r="AP100" s="46"/>
      <c r="AQ100" s="35"/>
    </row>
    <row r="101" spans="1:43" customFormat="1">
      <c r="A101" s="26"/>
      <c r="B101" s="21" t="s">
        <v>118</v>
      </c>
      <c r="C101" s="34"/>
      <c r="D101" s="4"/>
      <c r="E101" s="19"/>
      <c r="F101" s="19"/>
      <c r="G101" s="19"/>
      <c r="H101" s="19"/>
      <c r="I101" s="19"/>
      <c r="J101" s="19"/>
      <c r="K101" s="19"/>
      <c r="L101" s="19"/>
      <c r="M101" s="35"/>
      <c r="N101" s="25"/>
      <c r="O101" s="25">
        <f>O88/O99*100</f>
        <v>98.824224301825524</v>
      </c>
      <c r="P101" s="25">
        <f>P88/P99*100</f>
        <v>103.03107272881209</v>
      </c>
      <c r="Q101" s="25">
        <f>Q88/Q99*100</f>
        <v>105.79971301765273</v>
      </c>
      <c r="R101" s="25">
        <f>R88/R99*100</f>
        <v>104.5189606128824</v>
      </c>
      <c r="S101" s="25"/>
      <c r="T101" s="25">
        <f t="shared" ref="T101:AO101" si="56">T88/T99*100</f>
        <v>100.22229757733318</v>
      </c>
      <c r="U101" s="25">
        <f t="shared" si="56"/>
        <v>102.1210230817218</v>
      </c>
      <c r="V101" s="25">
        <f t="shared" si="56"/>
        <v>104.15805327505758</v>
      </c>
      <c r="W101" s="25">
        <f t="shared" si="56"/>
        <v>104.67661691542287</v>
      </c>
      <c r="X101" s="25">
        <f t="shared" si="56"/>
        <v>99.161993885154786</v>
      </c>
      <c r="Y101" s="25">
        <f t="shared" si="56"/>
        <v>103.46728307254625</v>
      </c>
      <c r="Z101" s="25">
        <f t="shared" si="56"/>
        <v>103.12829641350214</v>
      </c>
      <c r="AA101" s="25">
        <f t="shared" si="56"/>
        <v>104.14962508520793</v>
      </c>
      <c r="AB101" s="25">
        <f t="shared" si="56"/>
        <v>105.17082179132041</v>
      </c>
      <c r="AC101" s="25">
        <f t="shared" si="56"/>
        <v>105.47098780587606</v>
      </c>
      <c r="AD101" s="25">
        <f t="shared" si="56"/>
        <v>103.72918175235336</v>
      </c>
      <c r="AE101" s="25">
        <f t="shared" si="56"/>
        <v>103.13745883168663</v>
      </c>
      <c r="AF101" s="25">
        <f t="shared" si="56"/>
        <v>102.50091274187658</v>
      </c>
      <c r="AG101" s="25">
        <f t="shared" si="56"/>
        <v>103.03992740471868</v>
      </c>
      <c r="AH101" s="25">
        <f t="shared" si="56"/>
        <v>100.84711165543987</v>
      </c>
      <c r="AI101" s="25">
        <f t="shared" si="56"/>
        <v>107.51019128253374</v>
      </c>
      <c r="AJ101" s="25">
        <f t="shared" si="56"/>
        <v>107.35715861460402</v>
      </c>
      <c r="AK101" s="25">
        <f t="shared" si="56"/>
        <v>107.54830463874896</v>
      </c>
      <c r="AL101" s="25">
        <f t="shared" si="56"/>
        <v>100.89285714285717</v>
      </c>
      <c r="AM101" s="25">
        <f t="shared" si="56"/>
        <v>100.04507985574446</v>
      </c>
      <c r="AN101" s="25">
        <f t="shared" si="56"/>
        <v>101.90217391304348</v>
      </c>
      <c r="AO101" s="25">
        <f t="shared" si="56"/>
        <v>96.888137650067165</v>
      </c>
    </row>
    <row r="102" spans="1:43" customFormat="1">
      <c r="A102" s="4"/>
      <c r="B102" s="45" t="s">
        <v>123</v>
      </c>
      <c r="C102" s="39"/>
      <c r="D102" s="40"/>
      <c r="E102" s="41"/>
      <c r="F102" s="41"/>
      <c r="G102" s="41"/>
      <c r="H102" s="41"/>
      <c r="I102" s="41"/>
      <c r="J102" s="41"/>
      <c r="K102" s="41"/>
      <c r="L102" s="41"/>
      <c r="M102" s="41"/>
      <c r="N102" s="42"/>
      <c r="O102" s="42">
        <v>175.74285714285716</v>
      </c>
      <c r="P102" s="42">
        <v>19.947857142857142</v>
      </c>
      <c r="Q102" s="42">
        <v>48.957142857142856</v>
      </c>
      <c r="R102" s="42">
        <v>183.84285714285716</v>
      </c>
      <c r="S102" s="42"/>
      <c r="T102" s="42">
        <v>44.642857142857132</v>
      </c>
      <c r="U102" s="42">
        <v>3.9914285714285711</v>
      </c>
      <c r="V102" s="42">
        <v>871.35714285714289</v>
      </c>
      <c r="W102" s="42">
        <v>65.721428571428575</v>
      </c>
      <c r="X102" s="42">
        <v>134.13571428571427</v>
      </c>
      <c r="Y102" s="42">
        <v>14.120714285714286</v>
      </c>
      <c r="Z102" s="42">
        <v>49.95</v>
      </c>
      <c r="AA102" s="42">
        <v>9.3857142857142861</v>
      </c>
      <c r="AB102" s="42">
        <v>0.97357142857142864</v>
      </c>
      <c r="AC102" s="42">
        <v>8.286428571428571</v>
      </c>
      <c r="AD102" s="42">
        <v>1.3864285714285718</v>
      </c>
      <c r="AE102" s="42">
        <v>8.9628571428571444</v>
      </c>
      <c r="AF102" s="42">
        <v>1.8664285714285713</v>
      </c>
      <c r="AG102" s="42">
        <v>5.371428571428571</v>
      </c>
      <c r="AH102" s="42">
        <v>0.82214285714285718</v>
      </c>
      <c r="AI102" s="42">
        <v>5.0785714285714292</v>
      </c>
      <c r="AJ102" s="42">
        <v>0.77357142857142858</v>
      </c>
      <c r="AK102" s="42">
        <v>6.8214285714285703</v>
      </c>
      <c r="AL102" s="42">
        <v>2.9192857142857145</v>
      </c>
      <c r="AM102" s="42">
        <v>25.65</v>
      </c>
      <c r="AN102" s="42">
        <v>24.632857142857141</v>
      </c>
      <c r="AO102" s="42">
        <v>7.7592857142857152</v>
      </c>
      <c r="AP102" s="46">
        <v>14</v>
      </c>
      <c r="AQ102" s="35"/>
    </row>
    <row r="103" spans="1:43" customFormat="1">
      <c r="A103" s="4"/>
      <c r="B103" s="28" t="s">
        <v>125</v>
      </c>
      <c r="C103" s="39"/>
      <c r="D103" s="40"/>
      <c r="E103" s="41"/>
      <c r="F103" s="41"/>
      <c r="G103" s="41"/>
      <c r="H103" s="41"/>
      <c r="I103" s="41"/>
      <c r="J103" s="41"/>
      <c r="K103" s="41"/>
      <c r="L103" s="41"/>
      <c r="M103" s="41"/>
      <c r="N103" s="42"/>
      <c r="O103" s="42">
        <v>3.5169292299947137</v>
      </c>
      <c r="P103" s="42">
        <v>0.98711061317228388</v>
      </c>
      <c r="Q103" s="42">
        <v>1.4361884843701269</v>
      </c>
      <c r="R103" s="42">
        <v>5.7518845454490686</v>
      </c>
      <c r="S103" s="42"/>
      <c r="T103" s="42">
        <v>0.98349008497937918</v>
      </c>
      <c r="U103" s="42">
        <v>0.19658066040166833</v>
      </c>
      <c r="V103" s="42">
        <v>24.285504200771996</v>
      </c>
      <c r="W103" s="42">
        <v>1.6669541876537164</v>
      </c>
      <c r="X103" s="42">
        <v>1.7709654658741041</v>
      </c>
      <c r="Y103" s="42">
        <v>0.44729037695738699</v>
      </c>
      <c r="Z103" s="42">
        <v>2.2009613284269145</v>
      </c>
      <c r="AA103" s="42">
        <v>0.88652922452340277</v>
      </c>
      <c r="AB103" s="42">
        <v>0.17158120494421816</v>
      </c>
      <c r="AC103" s="42">
        <v>0.75465332991490086</v>
      </c>
      <c r="AD103" s="42">
        <v>0.13551083651570753</v>
      </c>
      <c r="AE103" s="42">
        <v>0.62874023707274018</v>
      </c>
      <c r="AF103" s="42">
        <v>0.14462722069870856</v>
      </c>
      <c r="AG103" s="42">
        <v>0.46058252652077875</v>
      </c>
      <c r="AH103" s="42">
        <v>0.16196764023568488</v>
      </c>
      <c r="AI103" s="42">
        <v>0.53188861099434503</v>
      </c>
      <c r="AJ103" s="42">
        <v>6.6054423115994382E-2</v>
      </c>
      <c r="AK103" s="42">
        <v>0.46301448960309821</v>
      </c>
      <c r="AL103" s="42">
        <v>0.11111077533526792</v>
      </c>
      <c r="AM103" s="42">
        <v>0.65014791216484535</v>
      </c>
      <c r="AN103" s="42">
        <v>0.51849528699628789</v>
      </c>
      <c r="AO103" s="42">
        <v>0.20919127374484114</v>
      </c>
      <c r="AP103" s="46"/>
      <c r="AQ103" s="35"/>
    </row>
    <row r="104" spans="1:43" customFormat="1">
      <c r="A104" s="26"/>
      <c r="B104" s="21" t="s">
        <v>118</v>
      </c>
      <c r="C104" s="34"/>
      <c r="D104" s="4"/>
      <c r="E104" s="19"/>
      <c r="F104" s="19"/>
      <c r="G104" s="19"/>
      <c r="H104" s="19"/>
      <c r="I104" s="19"/>
      <c r="J104" s="19"/>
      <c r="K104" s="19"/>
      <c r="L104" s="19"/>
      <c r="M104" s="35"/>
      <c r="N104" s="25"/>
      <c r="O104" s="25">
        <f>O88/O102*100</f>
        <v>101.54988348777978</v>
      </c>
      <c r="P104" s="25">
        <f>P88/P102*100</f>
        <v>101.67341043912104</v>
      </c>
      <c r="Q104" s="25">
        <f>Q88/Q102*100</f>
        <v>107.93453944168856</v>
      </c>
      <c r="R104" s="25">
        <f>R88/R102*100</f>
        <v>108.59364882016213</v>
      </c>
      <c r="S104" s="25"/>
      <c r="T104" s="25">
        <f t="shared" ref="T104:AO104" si="57">T88/T102*100</f>
        <v>99.3066666666667</v>
      </c>
      <c r="U104" s="25">
        <f t="shared" si="57"/>
        <v>102.53221188260559</v>
      </c>
      <c r="V104" s="25">
        <f t="shared" si="57"/>
        <v>101.19272071481269</v>
      </c>
      <c r="W104" s="25">
        <f t="shared" si="57"/>
        <v>106.71303843785095</v>
      </c>
      <c r="X104" s="25">
        <f t="shared" si="57"/>
        <v>99.538491577471305</v>
      </c>
      <c r="Y104" s="25">
        <f t="shared" si="57"/>
        <v>103.02240882189287</v>
      </c>
      <c r="Z104" s="25">
        <f t="shared" si="57"/>
        <v>104.38772105438771</v>
      </c>
      <c r="AA104" s="25">
        <f t="shared" si="57"/>
        <v>108.52486047691528</v>
      </c>
      <c r="AB104" s="25">
        <f t="shared" si="57"/>
        <v>97.493274639276109</v>
      </c>
      <c r="AC104" s="25">
        <f t="shared" si="57"/>
        <v>103.68359049507228</v>
      </c>
      <c r="AD104" s="25">
        <f t="shared" si="57"/>
        <v>103.323029366306</v>
      </c>
      <c r="AE104" s="25">
        <f t="shared" si="57"/>
        <v>99.577621931781948</v>
      </c>
      <c r="AF104" s="25">
        <f t="shared" si="57"/>
        <v>100.28064804184207</v>
      </c>
      <c r="AG104" s="25">
        <f t="shared" si="57"/>
        <v>105.69813829787233</v>
      </c>
      <c r="AH104" s="25">
        <f t="shared" si="57"/>
        <v>100.15493773530264</v>
      </c>
      <c r="AI104" s="25">
        <f t="shared" si="57"/>
        <v>112.51523675574309</v>
      </c>
      <c r="AJ104" s="25">
        <f t="shared" si="57"/>
        <v>104.84918436441984</v>
      </c>
      <c r="AK104" s="25">
        <f t="shared" si="57"/>
        <v>104.85340314136127</v>
      </c>
      <c r="AL104" s="25">
        <f t="shared" si="57"/>
        <v>96.770247125030593</v>
      </c>
      <c r="AM104" s="25">
        <f t="shared" si="57"/>
        <v>100.94217024041585</v>
      </c>
      <c r="AN104" s="25">
        <f t="shared" si="57"/>
        <v>103.52026909470511</v>
      </c>
      <c r="AO104" s="25">
        <f t="shared" si="57"/>
        <v>96.035472091810092</v>
      </c>
    </row>
    <row r="105" spans="1:43" customFormat="1">
      <c r="A105" s="4"/>
      <c r="B105" s="45" t="s">
        <v>123</v>
      </c>
      <c r="C105" s="39"/>
      <c r="D105" s="40"/>
      <c r="E105" s="41"/>
      <c r="F105" s="41"/>
      <c r="G105" s="41"/>
      <c r="H105" s="41"/>
      <c r="I105" s="41"/>
      <c r="J105" s="41"/>
      <c r="K105" s="41"/>
      <c r="L105" s="41"/>
      <c r="M105" s="41"/>
      <c r="N105" s="42"/>
      <c r="O105" s="42">
        <v>175.07777777777801</v>
      </c>
      <c r="P105" s="42">
        <v>20.117222222222225</v>
      </c>
      <c r="Q105" s="42">
        <v>49.727777777777781</v>
      </c>
      <c r="R105" s="42">
        <v>190.77222222222224</v>
      </c>
      <c r="S105" s="42"/>
      <c r="T105" s="42">
        <v>45.716666666666669</v>
      </c>
      <c r="U105" s="42">
        <v>4.0344444444444445</v>
      </c>
      <c r="V105" s="42">
        <v>881</v>
      </c>
      <c r="W105" s="42">
        <v>67.449999999999989</v>
      </c>
      <c r="X105" s="42">
        <v>135.91111111111113</v>
      </c>
      <c r="Y105" s="42">
        <v>14.373888888888887</v>
      </c>
      <c r="Z105" s="42">
        <v>50.905555555555551</v>
      </c>
      <c r="AA105" s="42">
        <v>10.112222222222222</v>
      </c>
      <c r="AB105" s="42">
        <v>0.9472222222222223</v>
      </c>
      <c r="AC105" s="42">
        <v>8.7888888888888879</v>
      </c>
      <c r="AD105" s="42">
        <v>1.4122222222222223</v>
      </c>
      <c r="AE105" s="42">
        <v>9.0055555555555564</v>
      </c>
      <c r="AF105" s="42">
        <v>1.847777777777778</v>
      </c>
      <c r="AG105" s="42">
        <v>5.2649999999999997</v>
      </c>
      <c r="AH105" s="42">
        <v>0.79499999999999993</v>
      </c>
      <c r="AI105" s="42">
        <v>5.3411111111111111</v>
      </c>
      <c r="AJ105" s="42">
        <v>0.76300000000000001</v>
      </c>
      <c r="AK105" s="42">
        <v>6.9861111111111107</v>
      </c>
      <c r="AL105" s="42">
        <v>2.9461111111111111</v>
      </c>
      <c r="AM105" s="42">
        <v>26.00055555555555</v>
      </c>
      <c r="AN105" s="42">
        <v>25.057777777777783</v>
      </c>
      <c r="AO105" s="42">
        <v>7.7033333333333331</v>
      </c>
      <c r="AP105" s="46">
        <v>18</v>
      </c>
      <c r="AQ105" s="35"/>
    </row>
    <row r="106" spans="1:43" customFormat="1">
      <c r="A106" s="4"/>
      <c r="B106" s="28" t="s">
        <v>126</v>
      </c>
      <c r="C106" s="39"/>
      <c r="D106" s="40"/>
      <c r="E106" s="41"/>
      <c r="F106" s="41"/>
      <c r="G106" s="41"/>
      <c r="H106" s="41"/>
      <c r="I106" s="41"/>
      <c r="J106" s="41"/>
      <c r="K106" s="41"/>
      <c r="L106" s="41"/>
      <c r="M106" s="41"/>
      <c r="N106" s="42"/>
      <c r="O106" s="42">
        <v>12.33033349845034</v>
      </c>
      <c r="P106" s="42">
        <v>0.70690548128948871</v>
      </c>
      <c r="Q106" s="42">
        <v>1.7162906498525365</v>
      </c>
      <c r="R106" s="42">
        <v>5.5804074862341668</v>
      </c>
      <c r="S106" s="42"/>
      <c r="T106" s="42">
        <v>0.76331321148237019</v>
      </c>
      <c r="U106" s="42">
        <v>0.16698792567207199</v>
      </c>
      <c r="V106" s="42">
        <v>17.616836866375035</v>
      </c>
      <c r="W106" s="42">
        <v>1.6486179595256707</v>
      </c>
      <c r="X106" s="42">
        <v>1.6977108770995799</v>
      </c>
      <c r="Y106" s="42">
        <v>0.31714051235243251</v>
      </c>
      <c r="Z106" s="42">
        <v>1.8526522235535485</v>
      </c>
      <c r="AA106" s="42">
        <v>0.68623915875337238</v>
      </c>
      <c r="AB106" s="42">
        <v>0.13287789864274832</v>
      </c>
      <c r="AC106" s="42">
        <v>0.73315505854442597</v>
      </c>
      <c r="AD106" s="42">
        <v>0.10844112284637691</v>
      </c>
      <c r="AE106" s="42">
        <v>0.61762564544268783</v>
      </c>
      <c r="AF106" s="42">
        <v>0.12283683848458853</v>
      </c>
      <c r="AG106" s="42">
        <v>0.37267317332704142</v>
      </c>
      <c r="AH106" s="42">
        <v>0.11340972050879268</v>
      </c>
      <c r="AI106" s="42">
        <v>0.44206585733601073</v>
      </c>
      <c r="AJ106" s="42">
        <v>7.1683126244851347E-2</v>
      </c>
      <c r="AK106" s="42">
        <v>0.66189690763733688</v>
      </c>
      <c r="AL106" s="42">
        <v>0.12429277054783802</v>
      </c>
      <c r="AM106" s="42">
        <v>0.88371190555867485</v>
      </c>
      <c r="AN106" s="42">
        <v>0.49816788518537103</v>
      </c>
      <c r="AO106" s="42">
        <v>0.20131917882980224</v>
      </c>
      <c r="AP106" s="46"/>
      <c r="AQ106" s="35"/>
    </row>
    <row r="107" spans="1:43" customFormat="1">
      <c r="A107" s="26"/>
      <c r="B107" s="21" t="s">
        <v>118</v>
      </c>
      <c r="C107" s="34"/>
      <c r="D107" s="4"/>
      <c r="E107" s="19"/>
      <c r="F107" s="19"/>
      <c r="G107" s="19"/>
      <c r="H107" s="19"/>
      <c r="I107" s="19"/>
      <c r="J107" s="19"/>
      <c r="K107" s="19"/>
      <c r="L107" s="19"/>
      <c r="M107" s="35"/>
      <c r="N107" s="25"/>
      <c r="O107" s="25">
        <f>O88/O105*100</f>
        <v>101.93564764866396</v>
      </c>
      <c r="P107" s="25">
        <f>P88/P105*100</f>
        <v>100.81743116732483</v>
      </c>
      <c r="Q107" s="25">
        <f>Q88/Q105*100</f>
        <v>106.26187018210256</v>
      </c>
      <c r="R107" s="25">
        <f>R88/R105*100</f>
        <v>104.64923265092168</v>
      </c>
      <c r="S107" s="25"/>
      <c r="T107" s="25">
        <f t="shared" ref="T107:AO107" si="58">T88/T105*100</f>
        <v>96.974115931461895</v>
      </c>
      <c r="U107" s="25">
        <f t="shared" si="58"/>
        <v>101.43899752134398</v>
      </c>
      <c r="V107" s="25">
        <f t="shared" si="58"/>
        <v>100.08513053348467</v>
      </c>
      <c r="W107" s="25">
        <f t="shared" si="58"/>
        <v>103.9782554978997</v>
      </c>
      <c r="X107" s="25">
        <f t="shared" si="58"/>
        <v>98.238227599738394</v>
      </c>
      <c r="Y107" s="25">
        <f t="shared" si="58"/>
        <v>101.20782282688519</v>
      </c>
      <c r="Z107" s="25">
        <f t="shared" si="58"/>
        <v>102.4282440248827</v>
      </c>
      <c r="AA107" s="25">
        <f t="shared" si="58"/>
        <v>100.72794198439732</v>
      </c>
      <c r="AB107" s="25">
        <f t="shared" si="58"/>
        <v>100.20527859237535</v>
      </c>
      <c r="AC107" s="25">
        <f t="shared" si="58"/>
        <v>97.756005056890032</v>
      </c>
      <c r="AD107" s="25">
        <f t="shared" si="58"/>
        <v>101.43587726199841</v>
      </c>
      <c r="AE107" s="25">
        <f t="shared" si="58"/>
        <v>99.105490438001226</v>
      </c>
      <c r="AF107" s="25">
        <f t="shared" si="58"/>
        <v>101.29284425736617</v>
      </c>
      <c r="AG107" s="25">
        <f t="shared" si="58"/>
        <v>107.83475783475782</v>
      </c>
      <c r="AH107" s="25">
        <f t="shared" si="58"/>
        <v>103.57442348008388</v>
      </c>
      <c r="AI107" s="25">
        <f t="shared" si="58"/>
        <v>106.98460578323279</v>
      </c>
      <c r="AJ107" s="25">
        <f t="shared" si="58"/>
        <v>106.30187854958497</v>
      </c>
      <c r="AK107" s="25">
        <f t="shared" si="58"/>
        <v>102.38170974155069</v>
      </c>
      <c r="AL107" s="25">
        <f t="shared" si="58"/>
        <v>95.8891193663964</v>
      </c>
      <c r="AM107" s="25">
        <f t="shared" si="58"/>
        <v>99.581205529796378</v>
      </c>
      <c r="AN107" s="25">
        <f t="shared" si="58"/>
        <v>101.76481021638877</v>
      </c>
      <c r="AO107" s="25">
        <f t="shared" si="58"/>
        <v>96.7330160103851</v>
      </c>
    </row>
    <row r="111" spans="1:43">
      <c r="A111" s="2">
        <v>35.799999999999997</v>
      </c>
      <c r="B111" s="1" t="s">
        <v>127</v>
      </c>
      <c r="C111" s="3">
        <v>2770000</v>
      </c>
      <c r="D111" s="2">
        <v>150000</v>
      </c>
      <c r="E111" s="2">
        <v>28110</v>
      </c>
      <c r="F111" s="2">
        <f>(E111/0.7419)/10000</f>
        <v>3.7889203396684192</v>
      </c>
      <c r="G111" s="2">
        <v>3830</v>
      </c>
      <c r="H111" s="2">
        <f>(G111/0.5603)/10000</f>
        <v>0.68356237729787606</v>
      </c>
      <c r="I111" s="2">
        <v>3730</v>
      </c>
      <c r="J111" s="2">
        <f>(I111/0.5603)/10000</f>
        <v>0.66571479564519009</v>
      </c>
      <c r="K111" s="2">
        <v>389</v>
      </c>
      <c r="L111" s="12">
        <f>(K111/0.5995)/10000</f>
        <v>6.4887406171809839E-2</v>
      </c>
      <c r="M111" s="2">
        <v>16.62</v>
      </c>
      <c r="N111" s="2">
        <v>17.8</v>
      </c>
      <c r="O111" s="2">
        <v>185.1</v>
      </c>
      <c r="P111" s="2">
        <v>5.46</v>
      </c>
      <c r="Q111" s="2">
        <v>23.76</v>
      </c>
      <c r="R111" s="2">
        <v>98.6</v>
      </c>
      <c r="S111" s="2">
        <v>99.5</v>
      </c>
      <c r="T111" s="2">
        <v>20.87</v>
      </c>
      <c r="U111" s="2">
        <v>5.43</v>
      </c>
      <c r="V111" s="2">
        <v>20.100000000000001</v>
      </c>
      <c r="W111" s="2">
        <v>20.100000000000001</v>
      </c>
      <c r="X111" s="2">
        <v>45</v>
      </c>
      <c r="Y111" s="2">
        <v>5.0999999999999996</v>
      </c>
      <c r="Z111" s="2">
        <v>20.100000000000001</v>
      </c>
      <c r="AA111" s="2">
        <v>4.5</v>
      </c>
      <c r="AB111" s="2">
        <v>0.104</v>
      </c>
      <c r="AC111" s="2">
        <v>3.6</v>
      </c>
      <c r="AD111" s="2">
        <v>0.56999999999999995</v>
      </c>
      <c r="AE111" s="2">
        <v>4.01</v>
      </c>
      <c r="AF111" s="2">
        <v>0.95</v>
      </c>
      <c r="AG111" s="2">
        <v>2.46</v>
      </c>
      <c r="AH111" s="2">
        <v>0.34200000000000003</v>
      </c>
      <c r="AI111" s="2">
        <v>2.83</v>
      </c>
      <c r="AJ111" s="2">
        <v>0.33200000000000002</v>
      </c>
      <c r="AK111" s="2">
        <v>4.58</v>
      </c>
      <c r="AL111" s="2">
        <v>1.66</v>
      </c>
      <c r="AM111" s="2">
        <v>27.7</v>
      </c>
      <c r="AN111" s="2">
        <v>18.100000000000001</v>
      </c>
      <c r="AO111" s="2">
        <v>5.75</v>
      </c>
    </row>
    <row r="112" spans="1:43">
      <c r="A112" s="2">
        <v>35.799999999999997</v>
      </c>
      <c r="B112" s="1" t="s">
        <v>128</v>
      </c>
      <c r="C112" s="3">
        <v>2700000</v>
      </c>
      <c r="D112" s="2">
        <v>210000</v>
      </c>
      <c r="E112" s="2">
        <v>28380</v>
      </c>
      <c r="F112" s="2">
        <f t="shared" ref="F112:F162" si="59">(E112/0.7419)/10000</f>
        <v>3.8253133845531746</v>
      </c>
      <c r="G112" s="2">
        <v>3750</v>
      </c>
      <c r="H112" s="2">
        <f t="shared" ref="H112:H162" si="60">(G112/0.5603)/10000</f>
        <v>0.66928431197572724</v>
      </c>
      <c r="I112" s="2">
        <v>3830</v>
      </c>
      <c r="J112" s="2">
        <f t="shared" ref="J112:J162" si="61">(I112/0.5603)/10000</f>
        <v>0.68356237729787606</v>
      </c>
      <c r="K112" s="2">
        <v>381</v>
      </c>
      <c r="L112" s="12">
        <f t="shared" ref="L112:L162" si="62">(K112/0.5995)/10000</f>
        <v>6.3552960800667219E-2</v>
      </c>
      <c r="M112" s="2">
        <v>16</v>
      </c>
      <c r="N112" s="2">
        <v>16.559999999999999</v>
      </c>
      <c r="O112" s="2">
        <v>175.7</v>
      </c>
      <c r="P112" s="2">
        <v>4.83</v>
      </c>
      <c r="Q112" s="2">
        <v>23.5</v>
      </c>
      <c r="R112" s="2">
        <v>92.2</v>
      </c>
      <c r="S112" s="2">
        <v>92.7</v>
      </c>
      <c r="T112" s="2">
        <v>20.399999999999999</v>
      </c>
      <c r="U112" s="2">
        <v>5.84</v>
      </c>
      <c r="V112" s="2">
        <v>21.2</v>
      </c>
      <c r="W112" s="2">
        <v>19.600000000000001</v>
      </c>
      <c r="X112" s="2">
        <v>42.4</v>
      </c>
      <c r="Y112" s="2">
        <v>4.8899999999999997</v>
      </c>
      <c r="Z112" s="2">
        <v>18.100000000000001</v>
      </c>
      <c r="AA112" s="2">
        <v>4.09</v>
      </c>
      <c r="AB112" s="2">
        <v>0.17799999999999999</v>
      </c>
      <c r="AC112" s="2">
        <v>3.85</v>
      </c>
      <c r="AD112" s="2">
        <v>0.59</v>
      </c>
      <c r="AE112" s="2">
        <v>3.72</v>
      </c>
      <c r="AF112" s="2">
        <v>0.76</v>
      </c>
      <c r="AG112" s="2">
        <v>2.16</v>
      </c>
      <c r="AH112" s="2">
        <v>0.41</v>
      </c>
      <c r="AI112" s="2">
        <v>2.37</v>
      </c>
      <c r="AJ112" s="2">
        <v>0.39</v>
      </c>
      <c r="AK112" s="2">
        <v>4.2699999999999996</v>
      </c>
      <c r="AL112" s="2">
        <v>1.82</v>
      </c>
      <c r="AM112" s="2">
        <v>26.6</v>
      </c>
      <c r="AN112" s="2">
        <v>18.309999999999999</v>
      </c>
      <c r="AO112" s="2">
        <v>5.62</v>
      </c>
    </row>
    <row r="113" spans="1:41">
      <c r="A113" s="2">
        <v>35.799999999999997</v>
      </c>
      <c r="B113" s="1" t="s">
        <v>129</v>
      </c>
      <c r="C113" s="3">
        <v>2810000</v>
      </c>
      <c r="D113" s="2">
        <v>170000</v>
      </c>
      <c r="E113" s="2">
        <v>28960</v>
      </c>
      <c r="F113" s="2">
        <f t="shared" si="59"/>
        <v>3.9034910365278339</v>
      </c>
      <c r="G113" s="2">
        <v>3340</v>
      </c>
      <c r="H113" s="2">
        <f t="shared" si="60"/>
        <v>0.59610922719971438</v>
      </c>
      <c r="I113" s="2">
        <v>3760</v>
      </c>
      <c r="J113" s="2">
        <f t="shared" si="61"/>
        <v>0.67106907014099593</v>
      </c>
      <c r="K113" s="2">
        <v>391</v>
      </c>
      <c r="L113" s="12">
        <f t="shared" si="62"/>
        <v>6.5221017514595497E-2</v>
      </c>
      <c r="M113" s="2">
        <v>17.739999999999998</v>
      </c>
      <c r="N113" s="2">
        <v>17.34</v>
      </c>
      <c r="O113" s="2">
        <v>183.5</v>
      </c>
      <c r="P113" s="2">
        <v>5.28</v>
      </c>
      <c r="Q113" s="2">
        <v>24.3</v>
      </c>
      <c r="R113" s="2">
        <v>96.2</v>
      </c>
      <c r="S113" s="2">
        <v>97.5</v>
      </c>
      <c r="T113" s="2">
        <v>21.31</v>
      </c>
      <c r="U113" s="2">
        <v>5.87</v>
      </c>
      <c r="V113" s="2">
        <v>21.9</v>
      </c>
      <c r="W113" s="2">
        <v>20.399999999999999</v>
      </c>
      <c r="X113" s="2">
        <v>44.6</v>
      </c>
      <c r="Y113" s="2">
        <v>4.9000000000000004</v>
      </c>
      <c r="Z113" s="2">
        <v>19.2</v>
      </c>
      <c r="AA113" s="2">
        <v>4.95</v>
      </c>
      <c r="AB113" s="2">
        <v>7.8E-2</v>
      </c>
      <c r="AC113" s="2">
        <v>4.6900000000000004</v>
      </c>
      <c r="AD113" s="2">
        <v>0.69</v>
      </c>
      <c r="AE113" s="2">
        <v>4.26</v>
      </c>
      <c r="AF113" s="2">
        <v>0.84</v>
      </c>
      <c r="AG113" s="2">
        <v>2.4900000000000002</v>
      </c>
      <c r="AH113" s="2">
        <v>0.39200000000000002</v>
      </c>
      <c r="AI113" s="2">
        <v>2.78</v>
      </c>
      <c r="AJ113" s="2">
        <v>0.34699999999999998</v>
      </c>
      <c r="AK113" s="2">
        <v>4.08</v>
      </c>
      <c r="AL113" s="2">
        <v>1.64</v>
      </c>
      <c r="AM113" s="2">
        <v>27.2</v>
      </c>
      <c r="AN113" s="2">
        <v>18.54</v>
      </c>
      <c r="AO113" s="2">
        <v>6.04</v>
      </c>
    </row>
    <row r="114" spans="1:41">
      <c r="A114" s="2">
        <v>35.799999999999997</v>
      </c>
      <c r="B114" s="1" t="s">
        <v>130</v>
      </c>
      <c r="C114" s="3">
        <v>2740000</v>
      </c>
      <c r="D114" s="2">
        <v>180000</v>
      </c>
      <c r="E114" s="2">
        <v>29300</v>
      </c>
      <c r="F114" s="2">
        <f t="shared" si="59"/>
        <v>3.9493193152716</v>
      </c>
      <c r="G114" s="2">
        <v>3860</v>
      </c>
      <c r="H114" s="2">
        <f t="shared" si="60"/>
        <v>0.68891665179368189</v>
      </c>
      <c r="I114" s="2">
        <v>3780</v>
      </c>
      <c r="J114" s="2">
        <f t="shared" si="61"/>
        <v>0.67463858647153307</v>
      </c>
      <c r="K114" s="2">
        <v>379</v>
      </c>
      <c r="L114" s="12">
        <f t="shared" si="62"/>
        <v>6.321934945788156E-2</v>
      </c>
      <c r="M114" s="2">
        <v>18.2</v>
      </c>
      <c r="N114" s="2">
        <v>17.600000000000001</v>
      </c>
      <c r="O114" s="2">
        <v>183.4</v>
      </c>
      <c r="P114" s="2">
        <v>6.07</v>
      </c>
      <c r="Q114" s="2">
        <v>23.6</v>
      </c>
      <c r="R114" s="2">
        <v>94.5</v>
      </c>
      <c r="S114" s="2">
        <v>97.9</v>
      </c>
      <c r="T114" s="2">
        <v>20.49</v>
      </c>
      <c r="U114" s="2">
        <v>5.61</v>
      </c>
      <c r="V114" s="2">
        <v>22.6</v>
      </c>
      <c r="W114" s="2">
        <v>20.100000000000001</v>
      </c>
      <c r="X114" s="2">
        <v>45.1</v>
      </c>
      <c r="Y114" s="2">
        <v>5.0999999999999996</v>
      </c>
      <c r="Z114" s="2">
        <v>17.7</v>
      </c>
      <c r="AA114" s="2">
        <v>4.7699999999999996</v>
      </c>
      <c r="AB114" s="2">
        <v>0.16</v>
      </c>
      <c r="AC114" s="2">
        <v>4.3</v>
      </c>
      <c r="AD114" s="2">
        <v>0.65</v>
      </c>
      <c r="AE114" s="2">
        <v>3.99</v>
      </c>
      <c r="AF114" s="2">
        <v>0.74</v>
      </c>
      <c r="AG114" s="2">
        <v>2.99</v>
      </c>
      <c r="AH114" s="2">
        <v>0.39</v>
      </c>
      <c r="AI114" s="2">
        <v>2.87</v>
      </c>
      <c r="AJ114" s="2">
        <v>0.34699999999999998</v>
      </c>
      <c r="AK114" s="2">
        <v>4.3499999999999996</v>
      </c>
      <c r="AL114" s="2">
        <v>1.89</v>
      </c>
      <c r="AM114" s="2">
        <v>29.1</v>
      </c>
      <c r="AN114" s="2">
        <v>18.63</v>
      </c>
      <c r="AO114" s="2">
        <v>5.99</v>
      </c>
    </row>
    <row r="115" spans="1:41">
      <c r="A115" s="2">
        <v>35.799999999999997</v>
      </c>
      <c r="B115" s="1" t="s">
        <v>131</v>
      </c>
      <c r="C115" s="3">
        <v>2630000</v>
      </c>
      <c r="D115" s="2">
        <v>150000</v>
      </c>
      <c r="E115" s="2">
        <v>30390</v>
      </c>
      <c r="F115" s="2">
        <f t="shared" si="59"/>
        <v>4.0962393853619083</v>
      </c>
      <c r="G115" s="2">
        <v>3880</v>
      </c>
      <c r="H115" s="2">
        <f t="shared" si="60"/>
        <v>0.69248616812421915</v>
      </c>
      <c r="I115" s="2">
        <v>3780</v>
      </c>
      <c r="J115" s="2">
        <f t="shared" si="61"/>
        <v>0.67463858647153307</v>
      </c>
      <c r="K115" s="2">
        <v>413</v>
      </c>
      <c r="L115" s="12">
        <f t="shared" si="62"/>
        <v>6.8890742285237699E-2</v>
      </c>
      <c r="M115" s="2">
        <v>18.55</v>
      </c>
      <c r="N115" s="2">
        <v>18.3</v>
      </c>
      <c r="O115" s="2">
        <v>190.2</v>
      </c>
      <c r="P115" s="2">
        <v>5.76</v>
      </c>
      <c r="Q115" s="2">
        <v>24.5</v>
      </c>
      <c r="R115" s="2">
        <v>100.5</v>
      </c>
      <c r="S115" s="2">
        <v>101.3</v>
      </c>
      <c r="T115" s="2">
        <v>21.58</v>
      </c>
      <c r="U115" s="2">
        <v>5.67</v>
      </c>
      <c r="V115" s="2">
        <v>20.9</v>
      </c>
      <c r="W115" s="2">
        <v>20.9</v>
      </c>
      <c r="X115" s="2">
        <v>46.4</v>
      </c>
      <c r="Y115" s="2">
        <v>5.31</v>
      </c>
      <c r="Z115" s="2">
        <v>20.8</v>
      </c>
      <c r="AA115" s="2">
        <v>4.32</v>
      </c>
      <c r="AB115" s="2">
        <v>0.10199999999999999</v>
      </c>
      <c r="AC115" s="2">
        <v>3.8</v>
      </c>
      <c r="AD115" s="2">
        <v>0.6</v>
      </c>
      <c r="AE115" s="2">
        <v>4.13</v>
      </c>
      <c r="AF115" s="2">
        <v>0.68</v>
      </c>
      <c r="AG115" s="2">
        <v>2.04</v>
      </c>
      <c r="AH115" s="2">
        <v>0.36</v>
      </c>
      <c r="AI115" s="2">
        <v>2.6</v>
      </c>
      <c r="AJ115" s="2">
        <v>0.316</v>
      </c>
      <c r="AK115" s="2">
        <v>4.1900000000000004</v>
      </c>
      <c r="AL115" s="2">
        <v>1.64</v>
      </c>
      <c r="AM115" s="2">
        <v>26.8</v>
      </c>
      <c r="AN115" s="2">
        <v>18.2</v>
      </c>
      <c r="AO115" s="2">
        <v>5.9</v>
      </c>
    </row>
    <row r="116" spans="1:41">
      <c r="A116" s="2">
        <v>35.799999999999997</v>
      </c>
      <c r="B116" s="1" t="s">
        <v>132</v>
      </c>
      <c r="C116" s="3">
        <v>2590000</v>
      </c>
      <c r="D116" s="2">
        <v>210000</v>
      </c>
      <c r="E116" s="2">
        <v>29640</v>
      </c>
      <c r="F116" s="2">
        <f t="shared" si="59"/>
        <v>3.9951475940153656</v>
      </c>
      <c r="G116" s="2">
        <v>3810</v>
      </c>
      <c r="H116" s="2">
        <f t="shared" si="60"/>
        <v>0.67999286096733891</v>
      </c>
      <c r="I116" s="2">
        <v>3770</v>
      </c>
      <c r="J116" s="2">
        <f t="shared" si="61"/>
        <v>0.6728538283062645</v>
      </c>
      <c r="K116" s="2">
        <v>379</v>
      </c>
      <c r="L116" s="12">
        <f t="shared" si="62"/>
        <v>6.321934945788156E-2</v>
      </c>
      <c r="M116" s="2">
        <v>18.2</v>
      </c>
      <c r="N116" s="2">
        <v>18.2</v>
      </c>
      <c r="O116" s="2">
        <v>185.3</v>
      </c>
      <c r="P116" s="2">
        <v>5.58</v>
      </c>
      <c r="Q116" s="2">
        <v>24</v>
      </c>
      <c r="R116" s="2">
        <v>93.5</v>
      </c>
      <c r="S116" s="2">
        <v>89.4</v>
      </c>
      <c r="T116" s="2">
        <v>19.989999999999998</v>
      </c>
      <c r="U116" s="2">
        <v>5.5</v>
      </c>
      <c r="V116" s="2">
        <v>21</v>
      </c>
      <c r="W116" s="2">
        <v>20.46</v>
      </c>
      <c r="X116" s="2">
        <v>43.7</v>
      </c>
      <c r="Y116" s="2">
        <v>4.99</v>
      </c>
      <c r="Z116" s="2">
        <v>18.5</v>
      </c>
      <c r="AA116" s="2">
        <v>5.41</v>
      </c>
      <c r="AB116" s="2">
        <v>0.14000000000000001</v>
      </c>
      <c r="AC116" s="2">
        <v>4.5999999999999996</v>
      </c>
      <c r="AD116" s="2">
        <v>0.56000000000000005</v>
      </c>
      <c r="AE116" s="2">
        <v>3.62</v>
      </c>
      <c r="AF116" s="2">
        <v>0.84</v>
      </c>
      <c r="AG116" s="2">
        <v>2.31</v>
      </c>
      <c r="AH116" s="2">
        <v>0.5</v>
      </c>
      <c r="AI116" s="2">
        <v>2.9</v>
      </c>
      <c r="AJ116" s="2">
        <v>0.40799999999999997</v>
      </c>
      <c r="AK116" s="2">
        <v>4.53</v>
      </c>
      <c r="AL116" s="2">
        <v>1.64</v>
      </c>
      <c r="AM116" s="2">
        <v>29.2</v>
      </c>
      <c r="AN116" s="2">
        <v>18.8</v>
      </c>
      <c r="AO116" s="2">
        <v>5.71</v>
      </c>
    </row>
    <row r="117" spans="1:41">
      <c r="A117" s="2">
        <v>35.799999999999997</v>
      </c>
      <c r="B117" s="1" t="s">
        <v>133</v>
      </c>
      <c r="C117" s="3">
        <v>2590000</v>
      </c>
      <c r="D117" s="2">
        <v>140000</v>
      </c>
      <c r="E117" s="2">
        <v>30440</v>
      </c>
      <c r="F117" s="2">
        <f t="shared" si="59"/>
        <v>4.1029788381183447</v>
      </c>
      <c r="G117" s="2">
        <v>3610</v>
      </c>
      <c r="H117" s="2">
        <f t="shared" si="60"/>
        <v>0.64429769766196676</v>
      </c>
      <c r="I117" s="2">
        <v>3740</v>
      </c>
      <c r="J117" s="2">
        <f t="shared" si="61"/>
        <v>0.66749955381045867</v>
      </c>
      <c r="K117" s="2">
        <v>366</v>
      </c>
      <c r="L117" s="12">
        <f t="shared" si="62"/>
        <v>6.1050875729774808E-2</v>
      </c>
      <c r="M117" s="2">
        <v>17.05</v>
      </c>
      <c r="N117" s="2">
        <v>18.100000000000001</v>
      </c>
      <c r="O117" s="2">
        <v>186.5</v>
      </c>
      <c r="P117" s="2">
        <v>4.5599999999999996</v>
      </c>
      <c r="Q117" s="2">
        <v>22.1</v>
      </c>
      <c r="R117" s="2">
        <v>96</v>
      </c>
      <c r="S117" s="2">
        <v>95.7</v>
      </c>
      <c r="T117" s="2">
        <v>20.440000000000001</v>
      </c>
      <c r="U117" s="2">
        <v>5.76</v>
      </c>
      <c r="V117" s="2">
        <v>19.399999999999999</v>
      </c>
      <c r="W117" s="2">
        <v>19.47</v>
      </c>
      <c r="X117" s="2">
        <v>43.8</v>
      </c>
      <c r="Y117" s="2">
        <v>4.8899999999999997</v>
      </c>
      <c r="Z117" s="2">
        <v>18.5</v>
      </c>
      <c r="AA117" s="2">
        <v>3.74</v>
      </c>
      <c r="AB117" s="2">
        <v>0.18</v>
      </c>
      <c r="AC117" s="2">
        <v>2.8</v>
      </c>
      <c r="AD117" s="2">
        <v>0.56000000000000005</v>
      </c>
      <c r="AE117" s="2">
        <v>4.1100000000000003</v>
      </c>
      <c r="AF117" s="2">
        <v>0.83</v>
      </c>
      <c r="AG117" s="2">
        <v>2.42</v>
      </c>
      <c r="AH117" s="2">
        <v>0.33</v>
      </c>
      <c r="AI117" s="2">
        <v>2.7</v>
      </c>
      <c r="AJ117" s="2">
        <v>0.373</v>
      </c>
      <c r="AK117" s="2">
        <v>4.13</v>
      </c>
      <c r="AL117" s="2">
        <v>1.71</v>
      </c>
      <c r="AM117" s="2">
        <v>26.2</v>
      </c>
      <c r="AN117" s="2">
        <v>18.100000000000001</v>
      </c>
      <c r="AO117" s="2">
        <v>6.1</v>
      </c>
    </row>
    <row r="118" spans="1:41">
      <c r="A118" s="2">
        <v>35.799999999999997</v>
      </c>
      <c r="B118" s="1" t="s">
        <v>134</v>
      </c>
      <c r="C118" s="3">
        <v>2360000</v>
      </c>
      <c r="D118" s="2">
        <v>190000</v>
      </c>
      <c r="E118" s="2">
        <v>30260</v>
      </c>
      <c r="F118" s="2">
        <f t="shared" si="59"/>
        <v>4.0787168081951739</v>
      </c>
      <c r="G118" s="2">
        <v>3810</v>
      </c>
      <c r="H118" s="2">
        <f t="shared" si="60"/>
        <v>0.67999286096733891</v>
      </c>
      <c r="I118" s="2">
        <v>3660</v>
      </c>
      <c r="J118" s="2">
        <f t="shared" si="61"/>
        <v>0.65322148848830985</v>
      </c>
      <c r="K118" s="2">
        <v>361</v>
      </c>
      <c r="L118" s="12">
        <f t="shared" si="62"/>
        <v>6.0216847372810675E-2</v>
      </c>
      <c r="M118" s="2">
        <v>18.09</v>
      </c>
      <c r="N118" s="2">
        <v>19.2</v>
      </c>
      <c r="O118" s="2">
        <v>186.2</v>
      </c>
      <c r="P118" s="2">
        <v>5.83</v>
      </c>
      <c r="Q118" s="2">
        <v>23.5</v>
      </c>
      <c r="R118" s="2">
        <v>94.7</v>
      </c>
      <c r="S118" s="2">
        <v>94</v>
      </c>
      <c r="T118" s="2">
        <v>20.55</v>
      </c>
      <c r="U118" s="2">
        <v>5.5</v>
      </c>
      <c r="V118" s="2">
        <v>18.8</v>
      </c>
      <c r="W118" s="2">
        <v>20.8</v>
      </c>
      <c r="X118" s="2">
        <v>45.4</v>
      </c>
      <c r="Y118" s="2">
        <v>5.17</v>
      </c>
      <c r="Z118" s="2">
        <v>19.7</v>
      </c>
      <c r="AA118" s="2">
        <v>4.34</v>
      </c>
      <c r="AB118" s="2">
        <v>0.2</v>
      </c>
      <c r="AC118" s="2">
        <v>4</v>
      </c>
      <c r="AD118" s="2">
        <v>0.61</v>
      </c>
      <c r="AE118" s="2">
        <v>3.56</v>
      </c>
      <c r="AF118" s="2">
        <v>0.77</v>
      </c>
      <c r="AG118" s="2">
        <v>1.96</v>
      </c>
      <c r="AH118" s="2">
        <v>0.27</v>
      </c>
      <c r="AI118" s="2">
        <v>2.46</v>
      </c>
      <c r="AJ118" s="2">
        <v>0.42899999999999999</v>
      </c>
      <c r="AK118" s="2">
        <v>4.1500000000000004</v>
      </c>
      <c r="AL118" s="2">
        <v>1.71</v>
      </c>
      <c r="AM118" s="2">
        <v>28.5</v>
      </c>
      <c r="AN118" s="2">
        <v>18.2</v>
      </c>
      <c r="AO118" s="2">
        <v>5.81</v>
      </c>
    </row>
    <row r="119" spans="1:41">
      <c r="A119" s="2">
        <v>35.799999999999997</v>
      </c>
      <c r="B119" s="1" t="s">
        <v>135</v>
      </c>
      <c r="C119" s="3">
        <v>2700000</v>
      </c>
      <c r="D119" s="2">
        <v>150000</v>
      </c>
      <c r="E119" s="2">
        <v>29990</v>
      </c>
      <c r="F119" s="2">
        <f t="shared" si="59"/>
        <v>4.042323763310419</v>
      </c>
      <c r="G119" s="2">
        <v>3780</v>
      </c>
      <c r="H119" s="2">
        <f t="shared" si="60"/>
        <v>0.67463858647153307</v>
      </c>
      <c r="I119" s="2">
        <v>4050</v>
      </c>
      <c r="J119" s="2">
        <f t="shared" si="61"/>
        <v>0.72282705693378546</v>
      </c>
      <c r="K119" s="2">
        <v>396</v>
      </c>
      <c r="L119" s="12">
        <f t="shared" si="62"/>
        <v>6.6055045871559623E-2</v>
      </c>
      <c r="M119" s="2">
        <v>17.559999999999999</v>
      </c>
      <c r="N119" s="2">
        <v>17.100000000000001</v>
      </c>
      <c r="O119" s="2">
        <v>179</v>
      </c>
      <c r="P119" s="2">
        <v>5.51</v>
      </c>
      <c r="Q119" s="2">
        <v>25.6</v>
      </c>
      <c r="R119" s="2">
        <v>91.7</v>
      </c>
      <c r="S119" s="2">
        <v>97.1</v>
      </c>
      <c r="T119" s="2">
        <v>19.97</v>
      </c>
      <c r="U119" s="2">
        <v>5.62</v>
      </c>
      <c r="V119" s="2">
        <v>21.2</v>
      </c>
      <c r="W119" s="2">
        <v>20.5</v>
      </c>
      <c r="X119" s="2">
        <v>45.1</v>
      </c>
      <c r="Y119" s="2">
        <v>5.78</v>
      </c>
      <c r="Z119" s="2">
        <v>19.5</v>
      </c>
      <c r="AA119" s="2">
        <v>4.2</v>
      </c>
      <c r="AB119" s="2">
        <v>0.11700000000000001</v>
      </c>
      <c r="AC119" s="2">
        <v>5</v>
      </c>
      <c r="AD119" s="2">
        <v>0.66</v>
      </c>
      <c r="AE119" s="2">
        <v>4.58</v>
      </c>
      <c r="AF119" s="2">
        <v>0.77</v>
      </c>
      <c r="AG119" s="2">
        <v>2.48</v>
      </c>
      <c r="AH119" s="2">
        <v>0.41199999999999998</v>
      </c>
      <c r="AI119" s="2">
        <v>2.91</v>
      </c>
      <c r="AJ119" s="2">
        <v>0.38500000000000001</v>
      </c>
      <c r="AK119" s="2">
        <v>4.47</v>
      </c>
      <c r="AL119" s="2">
        <v>1.75</v>
      </c>
      <c r="AM119" s="2">
        <v>27.9</v>
      </c>
      <c r="AN119" s="2">
        <v>19.100000000000001</v>
      </c>
      <c r="AO119" s="2">
        <v>5.79</v>
      </c>
    </row>
    <row r="120" spans="1:41">
      <c r="A120" s="2">
        <v>35.799999999999997</v>
      </c>
      <c r="B120" s="1" t="s">
        <v>136</v>
      </c>
      <c r="C120" s="3">
        <v>2710000</v>
      </c>
      <c r="D120" s="2">
        <v>160000</v>
      </c>
      <c r="E120" s="2">
        <v>30440</v>
      </c>
      <c r="F120" s="2">
        <f t="shared" si="59"/>
        <v>4.1029788381183447</v>
      </c>
      <c r="G120" s="2">
        <v>3530</v>
      </c>
      <c r="H120" s="2">
        <f t="shared" si="60"/>
        <v>0.63001963233981795</v>
      </c>
      <c r="I120" s="2">
        <v>3660</v>
      </c>
      <c r="J120" s="2">
        <f t="shared" si="61"/>
        <v>0.65322148848830985</v>
      </c>
      <c r="K120" s="2">
        <v>381</v>
      </c>
      <c r="L120" s="12">
        <f t="shared" si="62"/>
        <v>6.3552960800667219E-2</v>
      </c>
      <c r="M120" s="2">
        <v>17.8</v>
      </c>
      <c r="N120" s="2">
        <v>17</v>
      </c>
      <c r="O120" s="2">
        <v>186.5</v>
      </c>
      <c r="P120" s="2">
        <v>4.82</v>
      </c>
      <c r="Q120" s="2">
        <v>24.7</v>
      </c>
      <c r="R120" s="2">
        <v>93.9</v>
      </c>
      <c r="S120" s="2">
        <v>97.6</v>
      </c>
      <c r="T120" s="2">
        <v>20.29</v>
      </c>
      <c r="U120" s="2">
        <v>5.86</v>
      </c>
      <c r="V120" s="2">
        <v>19.399999999999999</v>
      </c>
      <c r="W120" s="2">
        <v>20.190000000000001</v>
      </c>
      <c r="X120" s="2">
        <v>43.1</v>
      </c>
      <c r="Y120" s="2">
        <v>5.29</v>
      </c>
      <c r="Z120" s="2">
        <v>19.8</v>
      </c>
      <c r="AA120" s="2">
        <v>3.85</v>
      </c>
      <c r="AB120" s="2">
        <v>0.13700000000000001</v>
      </c>
      <c r="AC120" s="2">
        <v>2.8</v>
      </c>
      <c r="AD120" s="2">
        <v>0.7</v>
      </c>
      <c r="AE120" s="2">
        <v>4.01</v>
      </c>
      <c r="AF120" s="2">
        <v>0.81</v>
      </c>
      <c r="AG120" s="2">
        <v>2.1</v>
      </c>
      <c r="AH120" s="2">
        <v>0.44</v>
      </c>
      <c r="AI120" s="2">
        <v>2.5099999999999998</v>
      </c>
      <c r="AJ120" s="2">
        <v>0.35799999999999998</v>
      </c>
      <c r="AK120" s="2">
        <v>3.73</v>
      </c>
      <c r="AL120" s="2">
        <v>1.79</v>
      </c>
      <c r="AM120" s="2">
        <v>26.6</v>
      </c>
      <c r="AN120" s="2">
        <v>18.66</v>
      </c>
      <c r="AO120" s="2">
        <v>5.86</v>
      </c>
    </row>
    <row r="121" spans="1:41">
      <c r="A121" s="2">
        <v>35.799999999999997</v>
      </c>
      <c r="B121" s="1" t="s">
        <v>137</v>
      </c>
      <c r="C121" s="3">
        <v>2610000</v>
      </c>
      <c r="D121" s="2">
        <v>210000</v>
      </c>
      <c r="E121" s="2">
        <v>30980</v>
      </c>
      <c r="F121" s="2">
        <f t="shared" si="59"/>
        <v>4.1757649278878555</v>
      </c>
      <c r="G121" s="2">
        <v>3760</v>
      </c>
      <c r="H121" s="2">
        <f t="shared" si="60"/>
        <v>0.67106907014099593</v>
      </c>
      <c r="I121" s="2">
        <v>3680</v>
      </c>
      <c r="J121" s="2">
        <f t="shared" si="61"/>
        <v>0.656791004818847</v>
      </c>
      <c r="K121" s="2">
        <v>381</v>
      </c>
      <c r="L121" s="12">
        <f t="shared" si="62"/>
        <v>6.3552960800667219E-2</v>
      </c>
      <c r="M121" s="2">
        <v>18.600000000000001</v>
      </c>
      <c r="N121" s="2">
        <v>17.2</v>
      </c>
      <c r="O121" s="2">
        <v>185.6</v>
      </c>
      <c r="P121" s="2">
        <v>5.65</v>
      </c>
      <c r="Q121" s="2">
        <v>23.9</v>
      </c>
      <c r="R121" s="2">
        <v>94.8</v>
      </c>
      <c r="S121" s="2">
        <v>94.8</v>
      </c>
      <c r="T121" s="2">
        <v>20.41</v>
      </c>
      <c r="U121" s="2">
        <v>5.77</v>
      </c>
      <c r="V121" s="2">
        <v>20.9</v>
      </c>
      <c r="W121" s="2">
        <v>20.7</v>
      </c>
      <c r="X121" s="2">
        <v>46.3</v>
      </c>
      <c r="Y121" s="2">
        <v>5.65</v>
      </c>
      <c r="Z121" s="2">
        <v>21.4</v>
      </c>
      <c r="AA121" s="2">
        <v>3.88</v>
      </c>
      <c r="AB121" s="2">
        <v>0.19</v>
      </c>
      <c r="AC121" s="2">
        <v>3.8</v>
      </c>
      <c r="AD121" s="2">
        <v>0.72</v>
      </c>
      <c r="AE121" s="2">
        <v>3.77</v>
      </c>
      <c r="AF121" s="2">
        <v>0.84</v>
      </c>
      <c r="AG121" s="2">
        <v>2.57</v>
      </c>
      <c r="AH121" s="2">
        <v>0.34200000000000003</v>
      </c>
      <c r="AI121" s="2">
        <v>2.11</v>
      </c>
      <c r="AJ121" s="2">
        <v>0.41499999999999998</v>
      </c>
      <c r="AK121" s="2">
        <v>4.01</v>
      </c>
      <c r="AL121" s="2">
        <v>1.79</v>
      </c>
      <c r="AM121" s="2">
        <v>30.1</v>
      </c>
      <c r="AN121" s="2">
        <v>18.8</v>
      </c>
      <c r="AO121" s="2">
        <v>6.39</v>
      </c>
    </row>
    <row r="122" spans="1:41">
      <c r="A122" s="2">
        <v>35.799999999999997</v>
      </c>
      <c r="B122" s="1" t="s">
        <v>138</v>
      </c>
      <c r="C122" s="3">
        <v>2610000</v>
      </c>
      <c r="D122" s="2">
        <v>130000</v>
      </c>
      <c r="E122" s="2">
        <v>30090</v>
      </c>
      <c r="F122" s="2">
        <f t="shared" si="59"/>
        <v>4.0558026688232918</v>
      </c>
      <c r="G122" s="2">
        <v>3750</v>
      </c>
      <c r="H122" s="2">
        <f t="shared" si="60"/>
        <v>0.66928431197572724</v>
      </c>
      <c r="I122" s="2">
        <v>3640</v>
      </c>
      <c r="J122" s="2">
        <f t="shared" si="61"/>
        <v>0.64965197215777259</v>
      </c>
      <c r="K122" s="2">
        <v>377</v>
      </c>
      <c r="L122" s="12">
        <f t="shared" si="62"/>
        <v>6.2885738115095915E-2</v>
      </c>
      <c r="M122" s="2">
        <v>17.8</v>
      </c>
      <c r="N122" s="2">
        <v>17.3</v>
      </c>
      <c r="O122" s="2">
        <v>190.8</v>
      </c>
      <c r="P122" s="2">
        <v>6.02</v>
      </c>
      <c r="Q122" s="2">
        <v>24.8</v>
      </c>
      <c r="R122" s="2">
        <v>99.1</v>
      </c>
      <c r="S122" s="2">
        <v>103.7</v>
      </c>
      <c r="T122" s="2">
        <v>21.3</v>
      </c>
      <c r="U122" s="2">
        <v>5.87</v>
      </c>
      <c r="V122" s="2">
        <v>20.2</v>
      </c>
      <c r="W122" s="2">
        <v>22.7</v>
      </c>
      <c r="X122" s="2">
        <v>46.3</v>
      </c>
      <c r="Y122" s="2">
        <v>5.56</v>
      </c>
      <c r="Z122" s="2">
        <v>19.7</v>
      </c>
      <c r="AA122" s="2">
        <v>4.26</v>
      </c>
      <c r="AB122" s="2">
        <v>0.17299999999999999</v>
      </c>
      <c r="AC122" s="2">
        <v>3.2</v>
      </c>
      <c r="AD122" s="2">
        <v>0.68</v>
      </c>
      <c r="AE122" s="2">
        <v>3.35</v>
      </c>
      <c r="AF122" s="2">
        <v>0.91</v>
      </c>
      <c r="AG122" s="2">
        <v>2.62</v>
      </c>
      <c r="AH122" s="2">
        <v>0.35</v>
      </c>
      <c r="AI122" s="2">
        <v>2.42</v>
      </c>
      <c r="AJ122" s="2">
        <v>0.373</v>
      </c>
      <c r="AK122" s="2">
        <v>3.81</v>
      </c>
      <c r="AL122" s="2">
        <v>1.8</v>
      </c>
      <c r="AM122" s="2">
        <v>27.9</v>
      </c>
      <c r="AN122" s="2">
        <v>19.7</v>
      </c>
      <c r="AO122" s="2">
        <v>6.01</v>
      </c>
    </row>
    <row r="123" spans="1:41">
      <c r="A123" s="2">
        <v>35.799999999999997</v>
      </c>
      <c r="B123" s="1" t="s">
        <v>139</v>
      </c>
      <c r="C123" s="3">
        <v>2690000</v>
      </c>
      <c r="D123" s="2">
        <v>140000</v>
      </c>
      <c r="E123" s="2">
        <v>30180</v>
      </c>
      <c r="F123" s="2">
        <f t="shared" si="59"/>
        <v>4.0679336837848767</v>
      </c>
      <c r="G123" s="2">
        <v>3730</v>
      </c>
      <c r="H123" s="2">
        <f t="shared" si="60"/>
        <v>0.66571479564519009</v>
      </c>
      <c r="I123" s="2">
        <v>3810</v>
      </c>
      <c r="J123" s="2">
        <f t="shared" si="61"/>
        <v>0.67999286096733891</v>
      </c>
      <c r="K123" s="2">
        <v>383</v>
      </c>
      <c r="L123" s="12">
        <f t="shared" si="62"/>
        <v>6.3886572143452877E-2</v>
      </c>
      <c r="M123" s="2">
        <v>17.100000000000001</v>
      </c>
      <c r="N123" s="2">
        <v>17.3</v>
      </c>
      <c r="O123" s="2">
        <v>180.2</v>
      </c>
      <c r="P123" s="2">
        <v>5.0999999999999996</v>
      </c>
      <c r="Q123" s="2">
        <v>22.9</v>
      </c>
      <c r="R123" s="2">
        <v>93.7</v>
      </c>
      <c r="S123" s="2">
        <v>95.2</v>
      </c>
      <c r="T123" s="2">
        <v>20.29</v>
      </c>
      <c r="U123" s="2">
        <v>5.66</v>
      </c>
      <c r="V123" s="2">
        <v>19.2</v>
      </c>
      <c r="W123" s="2">
        <v>20</v>
      </c>
      <c r="X123" s="2">
        <v>44.7</v>
      </c>
      <c r="Y123" s="2">
        <v>5.36</v>
      </c>
      <c r="Z123" s="2">
        <v>18</v>
      </c>
      <c r="AA123" s="2">
        <v>4.12</v>
      </c>
      <c r="AB123" s="2">
        <v>0.129</v>
      </c>
      <c r="AC123" s="2">
        <v>3.28</v>
      </c>
      <c r="AD123" s="2">
        <v>0.57999999999999996</v>
      </c>
      <c r="AE123" s="2">
        <v>4.03</v>
      </c>
      <c r="AF123" s="2">
        <v>0.91</v>
      </c>
      <c r="AG123" s="2">
        <v>2.38</v>
      </c>
      <c r="AH123" s="2">
        <v>0.41699999999999998</v>
      </c>
      <c r="AI123" s="2">
        <v>2.46</v>
      </c>
      <c r="AJ123" s="2">
        <v>0.433</v>
      </c>
      <c r="AK123" s="2">
        <v>4.09</v>
      </c>
      <c r="AL123" s="2">
        <v>1.7</v>
      </c>
      <c r="AM123" s="2">
        <v>26.3</v>
      </c>
      <c r="AN123" s="2">
        <v>18.73</v>
      </c>
      <c r="AO123" s="2">
        <v>6.15</v>
      </c>
    </row>
    <row r="124" spans="1:41">
      <c r="A124" s="2">
        <v>35.799999999999997</v>
      </c>
      <c r="B124" s="1" t="s">
        <v>140</v>
      </c>
      <c r="C124" s="3">
        <v>2590000</v>
      </c>
      <c r="D124" s="2">
        <v>190000</v>
      </c>
      <c r="E124" s="2">
        <v>31580</v>
      </c>
      <c r="F124" s="2">
        <f t="shared" si="59"/>
        <v>4.2566383609650895</v>
      </c>
      <c r="G124" s="2">
        <v>3630</v>
      </c>
      <c r="H124" s="2">
        <f t="shared" si="60"/>
        <v>0.64786721399250402</v>
      </c>
      <c r="I124" s="2">
        <v>3980</v>
      </c>
      <c r="J124" s="2">
        <f t="shared" si="61"/>
        <v>0.71033374977690522</v>
      </c>
      <c r="K124" s="2">
        <v>399</v>
      </c>
      <c r="L124" s="12">
        <f t="shared" si="62"/>
        <v>6.6555462885738104E-2</v>
      </c>
      <c r="M124" s="2">
        <v>18.899999999999999</v>
      </c>
      <c r="N124" s="2">
        <v>17.2</v>
      </c>
      <c r="O124" s="2">
        <v>185.1</v>
      </c>
      <c r="P124" s="2">
        <v>5.65</v>
      </c>
      <c r="Q124" s="2">
        <v>23.8</v>
      </c>
      <c r="R124" s="2">
        <v>97</v>
      </c>
      <c r="S124" s="2">
        <v>96.8</v>
      </c>
      <c r="T124" s="2">
        <v>20.7</v>
      </c>
      <c r="U124" s="2">
        <v>5.76</v>
      </c>
      <c r="V124" s="2">
        <v>22.8</v>
      </c>
      <c r="W124" s="2">
        <v>21.05</v>
      </c>
      <c r="X124" s="2">
        <v>45.4</v>
      </c>
      <c r="Y124" s="2">
        <v>5.19</v>
      </c>
      <c r="Z124" s="2">
        <v>18.899999999999999</v>
      </c>
      <c r="AA124" s="2">
        <v>3.57</v>
      </c>
      <c r="AB124" s="2">
        <v>0.13100000000000001</v>
      </c>
      <c r="AC124" s="2">
        <v>3.1</v>
      </c>
      <c r="AD124" s="2">
        <v>0.73</v>
      </c>
      <c r="AE124" s="2">
        <v>4.6399999999999997</v>
      </c>
      <c r="AF124" s="2">
        <v>0.79</v>
      </c>
      <c r="AG124" s="2">
        <v>2.7</v>
      </c>
      <c r="AH124" s="2">
        <v>0.43</v>
      </c>
      <c r="AI124" s="2">
        <v>2.5099999999999998</v>
      </c>
      <c r="AJ124" s="2">
        <v>0.46300000000000002</v>
      </c>
      <c r="AK124" s="2">
        <v>4.5199999999999996</v>
      </c>
      <c r="AL124" s="2">
        <v>1.74</v>
      </c>
      <c r="AM124" s="2">
        <v>26.1</v>
      </c>
      <c r="AN124" s="2">
        <v>17.7</v>
      </c>
      <c r="AO124" s="2">
        <v>5.56</v>
      </c>
    </row>
    <row r="125" spans="1:41">
      <c r="A125" s="2">
        <v>35.799999999999997</v>
      </c>
      <c r="B125" s="1" t="s">
        <v>141</v>
      </c>
      <c r="C125" s="3">
        <v>2640000</v>
      </c>
      <c r="D125" s="2">
        <v>220000</v>
      </c>
      <c r="E125" s="2">
        <v>31440</v>
      </c>
      <c r="F125" s="2">
        <f t="shared" si="59"/>
        <v>4.2377678932470682</v>
      </c>
      <c r="G125" s="2">
        <v>3620</v>
      </c>
      <c r="H125" s="2">
        <f t="shared" si="60"/>
        <v>0.64608245582723534</v>
      </c>
      <c r="I125" s="2">
        <v>3700</v>
      </c>
      <c r="J125" s="2">
        <f t="shared" si="61"/>
        <v>0.66036052114938415</v>
      </c>
      <c r="K125" s="2">
        <v>380</v>
      </c>
      <c r="L125" s="12">
        <f t="shared" si="62"/>
        <v>6.3386155129274396E-2</v>
      </c>
      <c r="M125" s="2">
        <v>17.47</v>
      </c>
      <c r="N125" s="2">
        <v>18.7</v>
      </c>
      <c r="O125" s="2">
        <v>183.6</v>
      </c>
      <c r="P125" s="2">
        <v>5.4</v>
      </c>
      <c r="Q125" s="2">
        <v>22.4</v>
      </c>
      <c r="R125" s="2">
        <v>93.2</v>
      </c>
      <c r="S125" s="2">
        <v>97</v>
      </c>
      <c r="T125" s="2">
        <v>19.420000000000002</v>
      </c>
      <c r="U125" s="2">
        <v>5.24</v>
      </c>
      <c r="V125" s="2">
        <v>21.7</v>
      </c>
      <c r="W125" s="2">
        <v>19.850000000000001</v>
      </c>
      <c r="X125" s="2">
        <v>42.9</v>
      </c>
      <c r="Y125" s="2">
        <v>5.08</v>
      </c>
      <c r="Z125" s="2">
        <v>19</v>
      </c>
      <c r="AA125" s="2">
        <v>4.16</v>
      </c>
      <c r="AB125" s="2">
        <v>0.121</v>
      </c>
      <c r="AC125" s="2">
        <v>3.52</v>
      </c>
      <c r="AD125" s="2">
        <v>0.52700000000000002</v>
      </c>
      <c r="AE125" s="2">
        <v>4</v>
      </c>
      <c r="AF125" s="2">
        <v>0.96</v>
      </c>
      <c r="AG125" s="2">
        <v>2.68</v>
      </c>
      <c r="AH125" s="2">
        <v>0.39</v>
      </c>
      <c r="AI125" s="2">
        <v>2.95</v>
      </c>
      <c r="AJ125" s="2">
        <v>0.45800000000000002</v>
      </c>
      <c r="AK125" s="2">
        <v>4.0599999999999996</v>
      </c>
      <c r="AL125" s="2">
        <v>1.57</v>
      </c>
      <c r="AM125" s="2">
        <v>28.1</v>
      </c>
      <c r="AN125" s="2">
        <v>18.170000000000002</v>
      </c>
      <c r="AO125" s="2">
        <v>5.8</v>
      </c>
    </row>
    <row r="126" spans="1:41">
      <c r="A126" s="2">
        <v>35.799999999999997</v>
      </c>
      <c r="B126" s="1" t="s">
        <v>142</v>
      </c>
      <c r="C126" s="3">
        <v>2570000</v>
      </c>
      <c r="D126" s="2">
        <v>130000</v>
      </c>
      <c r="E126" s="2">
        <v>27300</v>
      </c>
      <c r="F126" s="2">
        <f t="shared" si="59"/>
        <v>3.6797412050141531</v>
      </c>
      <c r="G126" s="2">
        <v>4460</v>
      </c>
      <c r="H126" s="2">
        <f t="shared" si="60"/>
        <v>0.79600214170979822</v>
      </c>
      <c r="I126" s="2">
        <v>4800</v>
      </c>
      <c r="J126" s="2">
        <f t="shared" si="61"/>
        <v>0.85668391932893084</v>
      </c>
      <c r="K126" s="2">
        <v>1370</v>
      </c>
      <c r="L126" s="12">
        <f t="shared" si="62"/>
        <v>0.22852376980817349</v>
      </c>
      <c r="M126" s="2">
        <v>21</v>
      </c>
      <c r="N126" s="2">
        <v>19.899999999999999</v>
      </c>
      <c r="O126" s="2">
        <v>214</v>
      </c>
      <c r="P126" s="2">
        <v>5.14</v>
      </c>
      <c r="Q126" s="2">
        <v>28.3</v>
      </c>
      <c r="R126" s="2">
        <v>94</v>
      </c>
      <c r="S126" s="2">
        <v>93.4</v>
      </c>
      <c r="T126" s="2">
        <v>38</v>
      </c>
      <c r="U126" s="2">
        <v>5.61</v>
      </c>
      <c r="V126" s="2">
        <v>27.1</v>
      </c>
      <c r="W126" s="2">
        <v>20.7</v>
      </c>
      <c r="X126" s="2">
        <v>47.1</v>
      </c>
      <c r="Y126" s="2">
        <v>5.7</v>
      </c>
      <c r="Z126" s="2">
        <v>22.7</v>
      </c>
      <c r="AA126" s="2">
        <v>5.4</v>
      </c>
      <c r="AB126" s="2">
        <v>0.15</v>
      </c>
      <c r="AC126" s="2">
        <v>4.9000000000000004</v>
      </c>
      <c r="AD126" s="2">
        <v>0.77</v>
      </c>
      <c r="AE126" s="2">
        <v>4.9000000000000004</v>
      </c>
      <c r="AF126" s="2">
        <v>1.1599999999999999</v>
      </c>
      <c r="AG126" s="2">
        <v>2.6</v>
      </c>
      <c r="AH126" s="2">
        <v>0.47</v>
      </c>
      <c r="AI126" s="2">
        <v>3.1</v>
      </c>
      <c r="AJ126" s="2">
        <v>0.44</v>
      </c>
      <c r="AK126" s="2">
        <v>4.2699999999999996</v>
      </c>
      <c r="AL126" s="2">
        <v>1.98</v>
      </c>
      <c r="AM126" s="2">
        <v>25.5</v>
      </c>
      <c r="AN126" s="2">
        <v>18.600000000000001</v>
      </c>
      <c r="AO126" s="2">
        <v>5.64</v>
      </c>
    </row>
    <row r="127" spans="1:41">
      <c r="A127" s="2">
        <v>35.799999999999997</v>
      </c>
      <c r="B127" s="1" t="s">
        <v>143</v>
      </c>
      <c r="C127" s="3">
        <v>2740000</v>
      </c>
      <c r="D127" s="2">
        <v>110000</v>
      </c>
      <c r="E127" s="2">
        <v>30470</v>
      </c>
      <c r="F127" s="2">
        <f t="shared" si="59"/>
        <v>4.1070225097722064</v>
      </c>
      <c r="G127" s="2">
        <v>3780</v>
      </c>
      <c r="H127" s="2">
        <f t="shared" si="60"/>
        <v>0.67463858647153307</v>
      </c>
      <c r="I127" s="2">
        <v>3750</v>
      </c>
      <c r="J127" s="2">
        <f t="shared" si="61"/>
        <v>0.66928431197572724</v>
      </c>
      <c r="K127" s="2">
        <v>376</v>
      </c>
      <c r="L127" s="12">
        <f t="shared" si="62"/>
        <v>6.2718932443703079E-2</v>
      </c>
      <c r="M127" s="2">
        <v>17.05</v>
      </c>
      <c r="N127" s="2">
        <v>18.2</v>
      </c>
      <c r="O127" s="2">
        <v>180.5</v>
      </c>
      <c r="P127" s="2">
        <v>5.34</v>
      </c>
      <c r="Q127" s="2">
        <v>22.7</v>
      </c>
      <c r="R127" s="2">
        <v>93</v>
      </c>
      <c r="S127" s="2">
        <v>94.3</v>
      </c>
      <c r="T127" s="2">
        <v>20.440000000000001</v>
      </c>
      <c r="U127" s="2">
        <v>5.52</v>
      </c>
      <c r="V127" s="2">
        <v>21</v>
      </c>
      <c r="W127" s="2">
        <v>20.5</v>
      </c>
      <c r="X127" s="2">
        <v>43.4</v>
      </c>
      <c r="Y127" s="2">
        <v>5.03</v>
      </c>
      <c r="Z127" s="2">
        <v>18.399999999999999</v>
      </c>
      <c r="AA127" s="2">
        <v>4.82</v>
      </c>
      <c r="AB127" s="2">
        <v>0.123</v>
      </c>
      <c r="AC127" s="2">
        <v>4.05</v>
      </c>
      <c r="AD127" s="2">
        <v>0.63</v>
      </c>
      <c r="AE127" s="2">
        <v>3.84</v>
      </c>
      <c r="AF127" s="2">
        <v>0.84</v>
      </c>
      <c r="AG127" s="2">
        <v>2.44</v>
      </c>
      <c r="AH127" s="2">
        <v>0.45</v>
      </c>
      <c r="AI127" s="2">
        <v>2.5099999999999998</v>
      </c>
      <c r="AJ127" s="2">
        <v>0.44500000000000001</v>
      </c>
      <c r="AK127" s="2">
        <v>4.58</v>
      </c>
      <c r="AL127" s="2">
        <v>1.82</v>
      </c>
      <c r="AM127" s="2">
        <v>26.58</v>
      </c>
      <c r="AN127" s="2">
        <v>19</v>
      </c>
      <c r="AO127" s="2">
        <v>6.02</v>
      </c>
    </row>
    <row r="128" spans="1:41">
      <c r="A128" s="2">
        <v>35.799999999999997</v>
      </c>
      <c r="B128" s="1" t="s">
        <v>144</v>
      </c>
      <c r="C128" s="3">
        <v>2780000</v>
      </c>
      <c r="D128" s="2">
        <v>130000</v>
      </c>
      <c r="E128" s="2">
        <v>29560</v>
      </c>
      <c r="F128" s="2">
        <f t="shared" si="59"/>
        <v>3.984364469605068</v>
      </c>
      <c r="G128" s="2">
        <v>3370</v>
      </c>
      <c r="H128" s="2">
        <f t="shared" si="60"/>
        <v>0.60146350169552021</v>
      </c>
      <c r="I128" s="2">
        <v>3890</v>
      </c>
      <c r="J128" s="2">
        <f t="shared" si="61"/>
        <v>0.69427092628948772</v>
      </c>
      <c r="K128" s="2">
        <v>386</v>
      </c>
      <c r="L128" s="12">
        <f t="shared" si="62"/>
        <v>6.4386989157631358E-2</v>
      </c>
      <c r="M128" s="2">
        <v>18</v>
      </c>
      <c r="N128" s="2">
        <v>17</v>
      </c>
      <c r="O128" s="2">
        <v>184.7</v>
      </c>
      <c r="P128" s="2">
        <v>5.53</v>
      </c>
      <c r="Q128" s="2">
        <v>23.6</v>
      </c>
      <c r="R128" s="2">
        <v>95.3</v>
      </c>
      <c r="S128" s="2">
        <v>99</v>
      </c>
      <c r="T128" s="2">
        <v>20.420000000000002</v>
      </c>
      <c r="U128" s="2">
        <v>5.37</v>
      </c>
      <c r="V128" s="2">
        <v>21</v>
      </c>
      <c r="W128" s="2">
        <v>21</v>
      </c>
      <c r="X128" s="2">
        <v>44.8</v>
      </c>
      <c r="Y128" s="2">
        <v>5.47</v>
      </c>
      <c r="Z128" s="2">
        <v>17.3</v>
      </c>
      <c r="AA128" s="2">
        <v>4.38</v>
      </c>
      <c r="AB128" s="2">
        <v>0.215</v>
      </c>
      <c r="AC128" s="2">
        <v>4.47</v>
      </c>
      <c r="AD128" s="2">
        <v>0.5</v>
      </c>
      <c r="AE128" s="2">
        <v>3.76</v>
      </c>
      <c r="AF128" s="2">
        <v>0.75</v>
      </c>
      <c r="AG128" s="2">
        <v>2.66</v>
      </c>
      <c r="AH128" s="2">
        <v>0.35799999999999998</v>
      </c>
      <c r="AI128" s="2">
        <v>2.58</v>
      </c>
      <c r="AJ128" s="2">
        <v>0.40200000000000002</v>
      </c>
      <c r="AK128" s="2">
        <v>4.49</v>
      </c>
      <c r="AL128" s="2">
        <v>1.59</v>
      </c>
      <c r="AM128" s="2">
        <v>27</v>
      </c>
      <c r="AN128" s="2">
        <v>19.2</v>
      </c>
      <c r="AO128" s="2">
        <v>6.09</v>
      </c>
    </row>
    <row r="129" spans="1:41">
      <c r="A129" s="2">
        <v>35.799999999999997</v>
      </c>
      <c r="B129" s="1" t="s">
        <v>145</v>
      </c>
      <c r="C129" s="3">
        <v>2700000</v>
      </c>
      <c r="D129" s="2">
        <v>160000</v>
      </c>
      <c r="E129" s="2">
        <v>29810</v>
      </c>
      <c r="F129" s="2">
        <f t="shared" si="59"/>
        <v>4.018061733387249</v>
      </c>
      <c r="G129" s="2">
        <v>3330</v>
      </c>
      <c r="H129" s="2">
        <f t="shared" si="60"/>
        <v>0.5943244690344458</v>
      </c>
      <c r="I129" s="2">
        <v>3620</v>
      </c>
      <c r="J129" s="2">
        <f t="shared" si="61"/>
        <v>0.64608245582723534</v>
      </c>
      <c r="K129" s="2">
        <v>359</v>
      </c>
      <c r="L129" s="12">
        <f t="shared" si="62"/>
        <v>5.9883236030025024E-2</v>
      </c>
      <c r="M129" s="2">
        <v>16.829999999999998</v>
      </c>
      <c r="N129" s="2">
        <v>18.600000000000001</v>
      </c>
      <c r="O129" s="2">
        <v>191.2</v>
      </c>
      <c r="P129" s="2">
        <v>5.07</v>
      </c>
      <c r="Q129" s="2">
        <v>23.19</v>
      </c>
      <c r="R129" s="2">
        <v>93.1</v>
      </c>
      <c r="S129" s="2">
        <v>90.8</v>
      </c>
      <c r="T129" s="2">
        <v>20.2</v>
      </c>
      <c r="U129" s="2">
        <v>5.54</v>
      </c>
      <c r="V129" s="2">
        <v>19.600000000000001</v>
      </c>
      <c r="W129" s="2">
        <v>19.7</v>
      </c>
      <c r="X129" s="2">
        <v>44</v>
      </c>
      <c r="Y129" s="2">
        <v>4.88</v>
      </c>
      <c r="Z129" s="2">
        <v>17.7</v>
      </c>
      <c r="AA129" s="2">
        <v>5</v>
      </c>
      <c r="AB129" s="2">
        <v>0.22500000000000001</v>
      </c>
      <c r="AC129" s="2">
        <v>3.5</v>
      </c>
      <c r="AD129" s="2">
        <v>0.68</v>
      </c>
      <c r="AE129" s="2">
        <v>4.8099999999999996</v>
      </c>
      <c r="AF129" s="2">
        <v>0.79</v>
      </c>
      <c r="AG129" s="2">
        <v>2.4300000000000002</v>
      </c>
      <c r="AH129" s="2">
        <v>0.41499999999999998</v>
      </c>
      <c r="AI129" s="2">
        <v>2.67</v>
      </c>
      <c r="AJ129" s="2">
        <v>0.45800000000000002</v>
      </c>
      <c r="AK129" s="2">
        <v>3.97</v>
      </c>
      <c r="AL129" s="2">
        <v>1.76</v>
      </c>
      <c r="AM129" s="2">
        <v>27.1</v>
      </c>
      <c r="AN129" s="2">
        <v>18.3</v>
      </c>
      <c r="AO129" s="2">
        <v>5.65</v>
      </c>
    </row>
    <row r="130" spans="1:41">
      <c r="A130" s="2">
        <v>35.799999999999997</v>
      </c>
      <c r="B130" s="1" t="s">
        <v>146</v>
      </c>
      <c r="C130" s="3">
        <v>2790000</v>
      </c>
      <c r="D130" s="2">
        <v>130000</v>
      </c>
      <c r="E130" s="2">
        <v>28470</v>
      </c>
      <c r="F130" s="2">
        <f t="shared" si="59"/>
        <v>3.8374443995147596</v>
      </c>
      <c r="G130" s="2">
        <v>3750</v>
      </c>
      <c r="H130" s="2">
        <f t="shared" si="60"/>
        <v>0.66928431197572724</v>
      </c>
      <c r="I130" s="2">
        <v>3720</v>
      </c>
      <c r="J130" s="2">
        <f t="shared" si="61"/>
        <v>0.66393003747992141</v>
      </c>
      <c r="K130" s="2">
        <v>374</v>
      </c>
      <c r="L130" s="12">
        <f t="shared" si="62"/>
        <v>6.2385321100917428E-2</v>
      </c>
      <c r="M130" s="2">
        <v>16.91</v>
      </c>
      <c r="N130" s="2">
        <v>16.7</v>
      </c>
      <c r="O130" s="2">
        <v>179.4</v>
      </c>
      <c r="P130" s="2">
        <v>5.91</v>
      </c>
      <c r="Q130" s="2">
        <v>22.2</v>
      </c>
      <c r="R130" s="2">
        <v>90.6</v>
      </c>
      <c r="S130" s="2">
        <v>91.3</v>
      </c>
      <c r="T130" s="2">
        <v>20.100000000000001</v>
      </c>
      <c r="U130" s="2">
        <v>5.63</v>
      </c>
      <c r="V130" s="2">
        <v>20.100000000000001</v>
      </c>
      <c r="W130" s="2">
        <v>20.399999999999999</v>
      </c>
      <c r="X130" s="2">
        <v>43.2</v>
      </c>
      <c r="Y130" s="2">
        <v>5.01</v>
      </c>
      <c r="Z130" s="2">
        <v>18.399999999999999</v>
      </c>
      <c r="AA130" s="2">
        <v>4.3099999999999996</v>
      </c>
      <c r="AB130" s="2">
        <v>0.152</v>
      </c>
      <c r="AC130" s="2">
        <v>3.72</v>
      </c>
      <c r="AD130" s="2">
        <v>0.7</v>
      </c>
      <c r="AE130" s="2">
        <v>4.47</v>
      </c>
      <c r="AF130" s="2">
        <v>0.77</v>
      </c>
      <c r="AG130" s="2">
        <v>2.64</v>
      </c>
      <c r="AH130" s="2">
        <v>0.44</v>
      </c>
      <c r="AI130" s="2">
        <v>2.5299999999999998</v>
      </c>
      <c r="AJ130" s="2">
        <v>0.38900000000000001</v>
      </c>
      <c r="AK130" s="2">
        <v>4.0599999999999996</v>
      </c>
      <c r="AL130" s="2">
        <v>1.72</v>
      </c>
      <c r="AM130" s="2">
        <v>27.5</v>
      </c>
      <c r="AN130" s="2">
        <v>18.100000000000001</v>
      </c>
      <c r="AO130" s="2">
        <v>6.09</v>
      </c>
    </row>
    <row r="131" spans="1:41">
      <c r="A131" s="2">
        <v>35.799999999999997</v>
      </c>
      <c r="B131" s="1" t="s">
        <v>147</v>
      </c>
      <c r="C131" s="3">
        <v>3290000</v>
      </c>
      <c r="D131" s="2">
        <v>110000</v>
      </c>
      <c r="E131" s="2">
        <v>30220</v>
      </c>
      <c r="F131" s="2">
        <f t="shared" si="59"/>
        <v>4.0733252459900253</v>
      </c>
      <c r="G131" s="2">
        <v>3850</v>
      </c>
      <c r="H131" s="2">
        <f t="shared" si="60"/>
        <v>0.68713189362841331</v>
      </c>
      <c r="I131" s="2">
        <v>4040</v>
      </c>
      <c r="J131" s="2">
        <f t="shared" si="61"/>
        <v>0.72104229876851689</v>
      </c>
      <c r="K131" s="2">
        <v>382</v>
      </c>
      <c r="L131" s="12">
        <f t="shared" si="62"/>
        <v>6.3719766472060041E-2</v>
      </c>
      <c r="M131" s="2">
        <v>18.100000000000001</v>
      </c>
      <c r="N131" s="2">
        <v>15.4</v>
      </c>
      <c r="O131" s="2">
        <v>182.7</v>
      </c>
      <c r="P131" s="2">
        <v>5.8</v>
      </c>
      <c r="Q131" s="2">
        <v>26.86</v>
      </c>
      <c r="R131" s="2">
        <v>101.4</v>
      </c>
      <c r="S131" s="2">
        <v>107.2</v>
      </c>
      <c r="T131" s="2">
        <v>20.100000000000001</v>
      </c>
      <c r="U131" s="2">
        <v>4.99</v>
      </c>
      <c r="V131" s="2">
        <v>25.7</v>
      </c>
      <c r="W131" s="2">
        <v>21.4</v>
      </c>
      <c r="X131" s="2">
        <v>42.2</v>
      </c>
      <c r="Y131" s="2">
        <v>5.94</v>
      </c>
      <c r="Z131" s="2">
        <v>21.9</v>
      </c>
      <c r="AA131" s="2">
        <v>3.82</v>
      </c>
      <c r="AB131" s="2">
        <v>0.20899999999999999</v>
      </c>
      <c r="AC131" s="2">
        <v>2.94</v>
      </c>
      <c r="AD131" s="2">
        <v>0.68</v>
      </c>
      <c r="AE131" s="2">
        <v>4</v>
      </c>
      <c r="AF131" s="2">
        <v>0.76</v>
      </c>
      <c r="AG131" s="2">
        <v>2.72</v>
      </c>
      <c r="AH131" s="2">
        <v>0.42</v>
      </c>
      <c r="AI131" s="2">
        <v>1.99</v>
      </c>
      <c r="AJ131" s="2">
        <v>0.43</v>
      </c>
      <c r="AK131" s="2">
        <v>5.3</v>
      </c>
      <c r="AL131" s="2">
        <v>1.84</v>
      </c>
      <c r="AM131" s="2">
        <v>28.4</v>
      </c>
      <c r="AN131" s="2">
        <v>21.5</v>
      </c>
      <c r="AO131" s="2">
        <v>6.4</v>
      </c>
    </row>
    <row r="132" spans="1:41">
      <c r="A132" s="2">
        <v>35.799999999999997</v>
      </c>
      <c r="B132" s="1" t="s">
        <v>148</v>
      </c>
      <c r="C132" s="3">
        <v>2800000</v>
      </c>
      <c r="D132" s="2">
        <v>140000</v>
      </c>
      <c r="E132" s="2">
        <v>28970</v>
      </c>
      <c r="F132" s="2">
        <f t="shared" si="59"/>
        <v>3.9048389270791208</v>
      </c>
      <c r="G132" s="2">
        <v>3600</v>
      </c>
      <c r="H132" s="2">
        <f t="shared" si="60"/>
        <v>0.64251293949669819</v>
      </c>
      <c r="I132" s="2">
        <v>3670</v>
      </c>
      <c r="J132" s="2">
        <f t="shared" si="61"/>
        <v>0.65500624665357843</v>
      </c>
      <c r="K132" s="2">
        <v>377</v>
      </c>
      <c r="L132" s="12">
        <f t="shared" si="62"/>
        <v>6.2885738115095915E-2</v>
      </c>
      <c r="M132" s="2">
        <v>17.28</v>
      </c>
      <c r="N132" s="2">
        <v>16.02</v>
      </c>
      <c r="O132" s="2">
        <v>179.3</v>
      </c>
      <c r="P132" s="2">
        <v>5.46</v>
      </c>
      <c r="Q132" s="2">
        <v>23.1</v>
      </c>
      <c r="R132" s="2">
        <v>91.2</v>
      </c>
      <c r="S132" s="2">
        <v>93.4</v>
      </c>
      <c r="T132" s="2">
        <v>20.43</v>
      </c>
      <c r="U132" s="2">
        <v>5.39</v>
      </c>
      <c r="V132" s="2">
        <v>21.5</v>
      </c>
      <c r="W132" s="2">
        <v>20.3</v>
      </c>
      <c r="X132" s="2">
        <v>43.7</v>
      </c>
      <c r="Y132" s="2">
        <v>5.15</v>
      </c>
      <c r="Z132" s="2">
        <v>19.399999999999999</v>
      </c>
      <c r="AA132" s="2">
        <v>4.33</v>
      </c>
      <c r="AB132" s="2">
        <v>3.3000000000000002E-2</v>
      </c>
      <c r="AC132" s="2">
        <v>3.91</v>
      </c>
      <c r="AD132" s="2">
        <v>0.69</v>
      </c>
      <c r="AE132" s="2">
        <v>4.51</v>
      </c>
      <c r="AF132" s="2">
        <v>0.82</v>
      </c>
      <c r="AG132" s="2">
        <v>2.5</v>
      </c>
      <c r="AH132" s="2">
        <v>0.247</v>
      </c>
      <c r="AI132" s="2">
        <v>2.54</v>
      </c>
      <c r="AJ132" s="2">
        <v>0.436</v>
      </c>
      <c r="AK132" s="2">
        <v>4</v>
      </c>
      <c r="AL132" s="2">
        <v>1.84</v>
      </c>
      <c r="AM132" s="2">
        <v>26.9</v>
      </c>
      <c r="AN132" s="2">
        <v>18.899999999999999</v>
      </c>
      <c r="AO132" s="2">
        <v>6.23</v>
      </c>
    </row>
    <row r="133" spans="1:41">
      <c r="A133" s="2">
        <v>35.799999999999997</v>
      </c>
      <c r="B133" s="1" t="s">
        <v>149</v>
      </c>
      <c r="C133" s="3">
        <v>2790000</v>
      </c>
      <c r="D133" s="2">
        <v>150000</v>
      </c>
      <c r="E133" s="2">
        <v>28820</v>
      </c>
      <c r="F133" s="2">
        <f t="shared" si="59"/>
        <v>3.8846205688098125</v>
      </c>
      <c r="G133" s="2">
        <v>3540</v>
      </c>
      <c r="H133" s="2">
        <f t="shared" si="60"/>
        <v>0.63180439050508652</v>
      </c>
      <c r="I133" s="2">
        <v>3730</v>
      </c>
      <c r="J133" s="2">
        <f t="shared" si="61"/>
        <v>0.66571479564519009</v>
      </c>
      <c r="K133" s="2">
        <v>372</v>
      </c>
      <c r="L133" s="12">
        <f t="shared" si="62"/>
        <v>6.2051709758131776E-2</v>
      </c>
      <c r="M133" s="2">
        <v>17.22</v>
      </c>
      <c r="N133" s="2">
        <v>17.2</v>
      </c>
      <c r="O133" s="2">
        <v>180.6</v>
      </c>
      <c r="P133" s="2">
        <v>4.8099999999999996</v>
      </c>
      <c r="Q133" s="2">
        <v>22.6</v>
      </c>
      <c r="R133" s="2">
        <v>92.8</v>
      </c>
      <c r="S133" s="2">
        <v>92.1</v>
      </c>
      <c r="T133" s="2">
        <v>20.83</v>
      </c>
      <c r="U133" s="2">
        <v>5.5</v>
      </c>
      <c r="V133" s="2">
        <v>21.4</v>
      </c>
      <c r="W133" s="2">
        <v>20.3</v>
      </c>
      <c r="X133" s="2">
        <v>43.2</v>
      </c>
      <c r="Y133" s="2">
        <v>5.36</v>
      </c>
      <c r="Z133" s="2">
        <v>18.5</v>
      </c>
      <c r="AA133" s="2">
        <v>3.58</v>
      </c>
      <c r="AB133" s="2">
        <v>0.23899999999999999</v>
      </c>
      <c r="AC133" s="2">
        <v>3</v>
      </c>
      <c r="AD133" s="2">
        <v>0.53</v>
      </c>
      <c r="AE133" s="2">
        <v>3.81</v>
      </c>
      <c r="AF133" s="2">
        <v>0.8</v>
      </c>
      <c r="AG133" s="2">
        <v>3.02</v>
      </c>
      <c r="AH133" s="2">
        <v>0.47</v>
      </c>
      <c r="AI133" s="2">
        <v>2.87</v>
      </c>
      <c r="AJ133" s="2">
        <v>0.38</v>
      </c>
      <c r="AK133" s="2">
        <v>4.07</v>
      </c>
      <c r="AL133" s="2">
        <v>1.61</v>
      </c>
      <c r="AM133" s="2">
        <v>27.3</v>
      </c>
      <c r="AN133" s="2">
        <v>18.7</v>
      </c>
      <c r="AO133" s="2">
        <v>6.04</v>
      </c>
    </row>
    <row r="134" spans="1:41">
      <c r="A134" s="2">
        <v>35.799999999999997</v>
      </c>
      <c r="B134" s="1" t="s">
        <v>150</v>
      </c>
      <c r="C134" s="3">
        <v>2880000</v>
      </c>
      <c r="D134" s="2">
        <v>120000</v>
      </c>
      <c r="E134" s="2">
        <v>28340</v>
      </c>
      <c r="F134" s="2">
        <f t="shared" si="59"/>
        <v>3.8199218223480251</v>
      </c>
      <c r="G134" s="2">
        <v>3600</v>
      </c>
      <c r="H134" s="2">
        <f t="shared" si="60"/>
        <v>0.64251293949669819</v>
      </c>
      <c r="I134" s="2">
        <v>3750</v>
      </c>
      <c r="J134" s="2">
        <f t="shared" si="61"/>
        <v>0.66928431197572724</v>
      </c>
      <c r="K134" s="2">
        <v>384</v>
      </c>
      <c r="L134" s="12">
        <f t="shared" si="62"/>
        <v>6.4053377814845699E-2</v>
      </c>
      <c r="M134" s="2">
        <v>16.420000000000002</v>
      </c>
      <c r="N134" s="2">
        <v>17.3</v>
      </c>
      <c r="O134" s="2">
        <v>181.2</v>
      </c>
      <c r="P134" s="2">
        <v>5.36</v>
      </c>
      <c r="Q134" s="2">
        <v>22.7</v>
      </c>
      <c r="R134" s="2">
        <v>91.8</v>
      </c>
      <c r="S134" s="2">
        <v>91.3</v>
      </c>
      <c r="T134" s="2">
        <v>20.2</v>
      </c>
      <c r="U134" s="2">
        <v>5.33</v>
      </c>
      <c r="V134" s="2">
        <v>19.5</v>
      </c>
      <c r="W134" s="2">
        <v>21.51</v>
      </c>
      <c r="X134" s="2">
        <v>42.8</v>
      </c>
      <c r="Y134" s="2">
        <v>5.04</v>
      </c>
      <c r="Z134" s="2">
        <v>18.399999999999999</v>
      </c>
      <c r="AA134" s="2">
        <v>3.8</v>
      </c>
      <c r="AB134" s="2">
        <v>0.125</v>
      </c>
      <c r="AC134" s="2">
        <v>4.3600000000000003</v>
      </c>
      <c r="AD134" s="2">
        <v>0.54</v>
      </c>
      <c r="AE134" s="2">
        <v>3.37</v>
      </c>
      <c r="AF134" s="2">
        <v>0.86</v>
      </c>
      <c r="AG134" s="2">
        <v>2.58</v>
      </c>
      <c r="AH134" s="2">
        <v>0.34799999999999998</v>
      </c>
      <c r="AI134" s="2">
        <v>2.56</v>
      </c>
      <c r="AJ134" s="2">
        <v>0.40300000000000002</v>
      </c>
      <c r="AK134" s="2">
        <v>4.13</v>
      </c>
      <c r="AL134" s="2">
        <v>1.84</v>
      </c>
      <c r="AM134" s="2">
        <v>26.8</v>
      </c>
      <c r="AN134" s="2">
        <v>18.7</v>
      </c>
      <c r="AO134" s="2">
        <v>6.17</v>
      </c>
    </row>
    <row r="135" spans="1:41" ht="15" customHeight="1">
      <c r="A135" s="2">
        <v>35.799999999999997</v>
      </c>
      <c r="B135" s="1" t="s">
        <v>151</v>
      </c>
      <c r="C135" s="3">
        <v>2860000</v>
      </c>
      <c r="D135" s="2">
        <v>190000</v>
      </c>
      <c r="E135" s="2">
        <v>28850</v>
      </c>
      <c r="F135" s="2">
        <f t="shared" si="59"/>
        <v>3.8886642404636746</v>
      </c>
      <c r="G135" s="2">
        <v>3750</v>
      </c>
      <c r="H135" s="2">
        <f t="shared" si="60"/>
        <v>0.66928431197572724</v>
      </c>
      <c r="I135" s="2">
        <v>3630</v>
      </c>
      <c r="J135" s="2">
        <f t="shared" si="61"/>
        <v>0.64786721399250402</v>
      </c>
      <c r="K135" s="2">
        <v>347</v>
      </c>
      <c r="L135" s="12">
        <f t="shared" si="62"/>
        <v>5.7881567973311086E-2</v>
      </c>
      <c r="M135" s="2">
        <v>17.11</v>
      </c>
      <c r="N135" s="2">
        <v>17.18</v>
      </c>
      <c r="O135" s="2">
        <v>185.5</v>
      </c>
      <c r="P135" s="2">
        <v>5.42</v>
      </c>
      <c r="Q135" s="2">
        <v>23.1</v>
      </c>
      <c r="R135" s="2">
        <v>94.5</v>
      </c>
      <c r="S135" s="2">
        <v>93.7</v>
      </c>
      <c r="T135" s="2">
        <v>20.67</v>
      </c>
      <c r="U135" s="2">
        <v>5.56</v>
      </c>
      <c r="V135" s="2">
        <v>19</v>
      </c>
      <c r="W135" s="2">
        <v>19.989999999999998</v>
      </c>
      <c r="X135" s="2">
        <v>43.9</v>
      </c>
      <c r="Y135" s="2">
        <v>5.38</v>
      </c>
      <c r="Z135" s="2">
        <v>17.8</v>
      </c>
      <c r="AA135" s="2">
        <v>4.6500000000000004</v>
      </c>
      <c r="AB135" s="2">
        <v>0.10199999999999999</v>
      </c>
      <c r="AC135" s="2">
        <v>3.42</v>
      </c>
      <c r="AD135" s="2">
        <v>0.66</v>
      </c>
      <c r="AE135" s="2">
        <v>3.69</v>
      </c>
      <c r="AF135" s="2">
        <v>0.79</v>
      </c>
      <c r="AG135" s="2">
        <v>2.3199999999999998</v>
      </c>
      <c r="AH135" s="2">
        <v>0.36399999999999999</v>
      </c>
      <c r="AI135" s="2">
        <v>2.6</v>
      </c>
      <c r="AJ135" s="2">
        <v>0.40100000000000002</v>
      </c>
      <c r="AK135" s="2">
        <v>4.03</v>
      </c>
      <c r="AL135" s="2">
        <v>1.79</v>
      </c>
      <c r="AM135" s="2">
        <v>28.1</v>
      </c>
      <c r="AN135" s="2">
        <v>19.45</v>
      </c>
      <c r="AO135" s="2">
        <v>6.29</v>
      </c>
    </row>
    <row r="136" spans="1:41" s="14" customFormat="1">
      <c r="B136" s="13" t="s">
        <v>60</v>
      </c>
      <c r="C136" s="14">
        <f>AVERAGE(C111:C135)</f>
        <v>2717600</v>
      </c>
      <c r="D136" s="14">
        <f t="shared" ref="D136:AO136" si="63">AVERAGE(D111:D135)</f>
        <v>158800</v>
      </c>
      <c r="E136" s="14">
        <f t="shared" si="63"/>
        <v>29639.599999999999</v>
      </c>
      <c r="F136" s="14">
        <f t="shared" si="63"/>
        <v>3.9950936783933151</v>
      </c>
      <c r="G136" s="14">
        <f t="shared" si="63"/>
        <v>3708.8</v>
      </c>
      <c r="H136" s="14">
        <f t="shared" si="63"/>
        <v>0.66193110833482049</v>
      </c>
      <c r="I136" s="14">
        <f t="shared" si="63"/>
        <v>3806.8</v>
      </c>
      <c r="J136" s="14">
        <f t="shared" si="63"/>
        <v>0.67942173835445308</v>
      </c>
      <c r="K136" s="14">
        <f t="shared" si="63"/>
        <v>419.32</v>
      </c>
      <c r="L136" s="14">
        <f t="shared" si="63"/>
        <v>6.9944954128440373E-2</v>
      </c>
      <c r="M136" s="14">
        <f t="shared" si="63"/>
        <v>17.664000000000001</v>
      </c>
      <c r="N136" s="14">
        <f t="shared" si="63"/>
        <v>17.535999999999998</v>
      </c>
      <c r="O136" s="14">
        <f t="shared" si="63"/>
        <v>185.03199999999998</v>
      </c>
      <c r="P136" s="14">
        <f t="shared" si="63"/>
        <v>5.4143999999999997</v>
      </c>
      <c r="Q136" s="14">
        <f t="shared" si="63"/>
        <v>23.828400000000002</v>
      </c>
      <c r="R136" s="14">
        <f t="shared" si="63"/>
        <v>94.692000000000007</v>
      </c>
      <c r="S136" s="14">
        <f t="shared" si="63"/>
        <v>95.868000000000009</v>
      </c>
      <c r="T136" s="14">
        <f t="shared" si="63"/>
        <v>21.175999999999998</v>
      </c>
      <c r="U136" s="14">
        <f t="shared" si="63"/>
        <v>5.5760000000000005</v>
      </c>
      <c r="V136" s="14">
        <f t="shared" si="63"/>
        <v>21.088000000000001</v>
      </c>
      <c r="W136" s="14">
        <f t="shared" si="63"/>
        <v>20.504799999999996</v>
      </c>
      <c r="X136" s="14">
        <f t="shared" si="63"/>
        <v>44.340000000000011</v>
      </c>
      <c r="Y136" s="14">
        <f t="shared" si="63"/>
        <v>5.248800000000001</v>
      </c>
      <c r="Z136" s="14">
        <f t="shared" si="63"/>
        <v>19.175999999999995</v>
      </c>
      <c r="AA136" s="14">
        <f t="shared" si="63"/>
        <v>4.330000000000001</v>
      </c>
      <c r="AB136" s="14">
        <f t="shared" si="63"/>
        <v>0.14852000000000001</v>
      </c>
      <c r="AC136" s="14">
        <f t="shared" si="63"/>
        <v>3.7843999999999998</v>
      </c>
      <c r="AD136" s="14">
        <f t="shared" si="63"/>
        <v>0.63227999999999995</v>
      </c>
      <c r="AE136" s="14">
        <f t="shared" si="63"/>
        <v>4.0376000000000012</v>
      </c>
      <c r="AF136" s="14">
        <f t="shared" si="63"/>
        <v>0.82960000000000012</v>
      </c>
      <c r="AG136" s="14">
        <f t="shared" si="63"/>
        <v>2.4908000000000001</v>
      </c>
      <c r="AH136" s="14">
        <f t="shared" si="63"/>
        <v>0.39028000000000007</v>
      </c>
      <c r="AI136" s="14">
        <f t="shared" si="63"/>
        <v>2.6132</v>
      </c>
      <c r="AJ136" s="14">
        <f t="shared" si="63"/>
        <v>0.40044000000000013</v>
      </c>
      <c r="AK136" s="14">
        <f t="shared" si="63"/>
        <v>4.234799999999999</v>
      </c>
      <c r="AL136" s="14">
        <f t="shared" si="63"/>
        <v>1.7456000000000003</v>
      </c>
      <c r="AM136" s="14">
        <f t="shared" si="63"/>
        <v>27.419199999999996</v>
      </c>
      <c r="AN136" s="14">
        <f t="shared" si="63"/>
        <v>18.727599999999999</v>
      </c>
      <c r="AO136" s="14">
        <f t="shared" si="63"/>
        <v>5.9639999999999995</v>
      </c>
    </row>
    <row r="137" spans="1:41" s="14" customFormat="1">
      <c r="B137" s="13" t="s">
        <v>61</v>
      </c>
      <c r="C137" s="14">
        <f>STDEV(C111:C135)</f>
        <v>163917.6622576103</v>
      </c>
      <c r="D137" s="14">
        <f t="shared" ref="D137:AO137" si="64">STDEV(D111:D135)</f>
        <v>32954.51410656816</v>
      </c>
      <c r="E137" s="14">
        <f t="shared" si="64"/>
        <v>1070.2354881053047</v>
      </c>
      <c r="F137" s="14">
        <f t="shared" si="64"/>
        <v>0.14425603020694217</v>
      </c>
      <c r="G137" s="14">
        <f t="shared" si="64"/>
        <v>223.03437702142094</v>
      </c>
      <c r="H137" s="14">
        <f t="shared" si="64"/>
        <v>3.9806242552457773E-2</v>
      </c>
      <c r="I137" s="14">
        <f t="shared" si="64"/>
        <v>237.69237822586288</v>
      </c>
      <c r="J137" s="14">
        <f t="shared" si="64"/>
        <v>4.2422341286072265E-2</v>
      </c>
      <c r="K137" s="14">
        <f t="shared" si="64"/>
        <v>198.49931150174473</v>
      </c>
      <c r="L137" s="14">
        <f t="shared" si="64"/>
        <v>3.3110810926062481E-2</v>
      </c>
      <c r="M137" s="14">
        <f t="shared" si="64"/>
        <v>0.99712085526279104</v>
      </c>
      <c r="N137" s="14">
        <f t="shared" si="64"/>
        <v>0.97145938326485537</v>
      </c>
      <c r="O137" s="14">
        <f t="shared" si="64"/>
        <v>7.1365678025224426</v>
      </c>
      <c r="P137" s="14">
        <f t="shared" si="64"/>
        <v>0.39569643246643854</v>
      </c>
      <c r="Q137" s="14">
        <f t="shared" si="64"/>
        <v>1.4307214963087682</v>
      </c>
      <c r="R137" s="14">
        <f t="shared" si="64"/>
        <v>2.8164575859283469</v>
      </c>
      <c r="S137" s="14">
        <f t="shared" si="64"/>
        <v>4.1515780132378586</v>
      </c>
      <c r="T137" s="14">
        <f t="shared" si="64"/>
        <v>3.5351661912843713</v>
      </c>
      <c r="U137" s="14">
        <f t="shared" si="64"/>
        <v>0.2129945226212793</v>
      </c>
      <c r="V137" s="14">
        <f t="shared" si="64"/>
        <v>1.9406442229321683</v>
      </c>
      <c r="W137" s="14">
        <f t="shared" si="64"/>
        <v>0.69261653652411903</v>
      </c>
      <c r="X137" s="14">
        <f t="shared" si="64"/>
        <v>1.338842783899588</v>
      </c>
      <c r="Y137" s="14">
        <f t="shared" si="64"/>
        <v>0.29864025180809112</v>
      </c>
      <c r="Z137" s="14">
        <f t="shared" si="64"/>
        <v>1.3687829143683325</v>
      </c>
      <c r="AA137" s="14">
        <f t="shared" si="64"/>
        <v>0.51345236715135167</v>
      </c>
      <c r="AB137" s="14">
        <f t="shared" si="64"/>
        <v>4.8975436019838892E-2</v>
      </c>
      <c r="AC137" s="14">
        <f t="shared" si="64"/>
        <v>0.64758577295469433</v>
      </c>
      <c r="AD137" s="14">
        <f t="shared" si="64"/>
        <v>7.3223129314901617E-2</v>
      </c>
      <c r="AE137" s="14">
        <f t="shared" si="64"/>
        <v>0.42129047777829282</v>
      </c>
      <c r="AF137" s="14">
        <f t="shared" si="64"/>
        <v>9.5327505649383013E-2</v>
      </c>
      <c r="AG137" s="14">
        <f t="shared" si="64"/>
        <v>0.25729231106531558</v>
      </c>
      <c r="AH137" s="14">
        <f t="shared" si="64"/>
        <v>6.0298231040940106E-2</v>
      </c>
      <c r="AI137" s="14">
        <f t="shared" si="64"/>
        <v>0.25590883793517832</v>
      </c>
      <c r="AJ137" s="14">
        <f t="shared" si="64"/>
        <v>4.0882025390139375E-2</v>
      </c>
      <c r="AK137" s="14">
        <f t="shared" si="64"/>
        <v>0.32242725277701528</v>
      </c>
      <c r="AL137" s="14">
        <f t="shared" si="64"/>
        <v>0.10046060587779339</v>
      </c>
      <c r="AM137" s="14">
        <f t="shared" si="64"/>
        <v>1.0872975673659904</v>
      </c>
      <c r="AN137" s="14">
        <f t="shared" si="64"/>
        <v>0.74048002448861938</v>
      </c>
      <c r="AO137" s="14">
        <f t="shared" si="64"/>
        <v>0.24019089630264231</v>
      </c>
    </row>
    <row r="138" spans="1:41">
      <c r="L138" s="12"/>
    </row>
    <row r="139" spans="1:41">
      <c r="L139" s="12"/>
    </row>
    <row r="140" spans="1:41">
      <c r="A140" s="2">
        <v>35.9</v>
      </c>
      <c r="B140" s="1" t="s">
        <v>152</v>
      </c>
      <c r="C140" s="3">
        <v>2700000</v>
      </c>
      <c r="D140" s="2">
        <v>190000</v>
      </c>
      <c r="E140" s="2">
        <v>29460</v>
      </c>
      <c r="F140" s="2">
        <f t="shared" si="59"/>
        <v>3.9708855640921961</v>
      </c>
      <c r="G140" s="2">
        <v>3640</v>
      </c>
      <c r="H140" s="2">
        <f t="shared" si="60"/>
        <v>0.64965197215777259</v>
      </c>
      <c r="I140" s="2">
        <v>3452</v>
      </c>
      <c r="J140" s="2">
        <f t="shared" si="61"/>
        <v>0.61609851865072274</v>
      </c>
      <c r="K140" s="2">
        <v>369</v>
      </c>
      <c r="L140" s="12">
        <f t="shared" si="62"/>
        <v>6.1551292743953288E-2</v>
      </c>
      <c r="M140" s="2">
        <v>16.850000000000001</v>
      </c>
      <c r="N140" s="2">
        <v>17.100000000000001</v>
      </c>
      <c r="O140" s="2">
        <v>184</v>
      </c>
      <c r="P140" s="2">
        <v>5.61</v>
      </c>
      <c r="Q140" s="2">
        <v>22.4</v>
      </c>
      <c r="R140" s="2">
        <v>92.6</v>
      </c>
      <c r="S140" s="2">
        <v>95.4</v>
      </c>
      <c r="T140" s="2">
        <v>20.3</v>
      </c>
      <c r="U140" s="2">
        <v>5.0599999999999996</v>
      </c>
      <c r="V140" s="2">
        <v>20.7</v>
      </c>
      <c r="W140" s="2">
        <v>19.899999999999999</v>
      </c>
      <c r="X140" s="2">
        <v>41.9</v>
      </c>
      <c r="Y140" s="2">
        <v>4.99</v>
      </c>
      <c r="Z140" s="2">
        <v>19.079999999999998</v>
      </c>
      <c r="AA140" s="2">
        <v>3.86</v>
      </c>
      <c r="AB140" s="2">
        <v>0.17499999999999999</v>
      </c>
      <c r="AC140" s="2">
        <v>3.9</v>
      </c>
      <c r="AD140" s="2">
        <v>0.6</v>
      </c>
      <c r="AE140" s="2">
        <v>3.98</v>
      </c>
      <c r="AF140" s="2">
        <v>0.79100000000000004</v>
      </c>
      <c r="AG140" s="2">
        <v>2.2799999999999998</v>
      </c>
      <c r="AH140" s="2">
        <v>0.37</v>
      </c>
      <c r="AI140" s="2">
        <v>2.88</v>
      </c>
      <c r="AJ140" s="2">
        <v>0.39700000000000002</v>
      </c>
      <c r="AK140" s="2">
        <v>4.33</v>
      </c>
      <c r="AL140" s="2">
        <v>1.8</v>
      </c>
      <c r="AM140" s="2">
        <v>27.8</v>
      </c>
      <c r="AN140" s="2">
        <v>19.399999999999999</v>
      </c>
      <c r="AO140" s="2">
        <v>6.66</v>
      </c>
    </row>
    <row r="141" spans="1:41">
      <c r="A141" s="2">
        <v>35.9</v>
      </c>
      <c r="B141" s="1" t="s">
        <v>153</v>
      </c>
      <c r="C141" s="3">
        <v>2720000</v>
      </c>
      <c r="D141" s="2">
        <v>150000</v>
      </c>
      <c r="E141" s="2">
        <v>28860</v>
      </c>
      <c r="F141" s="2">
        <f t="shared" si="59"/>
        <v>3.8900121310149616</v>
      </c>
      <c r="G141" s="2">
        <v>3860</v>
      </c>
      <c r="H141" s="2">
        <f t="shared" si="60"/>
        <v>0.68891665179368189</v>
      </c>
      <c r="I141" s="2">
        <v>3640</v>
      </c>
      <c r="J141" s="2">
        <f t="shared" si="61"/>
        <v>0.64965197215777259</v>
      </c>
      <c r="K141" s="2">
        <v>324</v>
      </c>
      <c r="L141" s="12">
        <f t="shared" si="62"/>
        <v>5.4045037531276055E-2</v>
      </c>
      <c r="M141" s="2">
        <v>16.23</v>
      </c>
      <c r="N141" s="2">
        <v>17.5</v>
      </c>
      <c r="O141" s="2">
        <v>190.7</v>
      </c>
      <c r="P141" s="2">
        <v>2.97</v>
      </c>
      <c r="Q141" s="2">
        <v>23.9</v>
      </c>
      <c r="R141" s="2">
        <v>93.6</v>
      </c>
      <c r="S141" s="2">
        <v>92</v>
      </c>
      <c r="T141" s="2">
        <v>21.44</v>
      </c>
      <c r="U141" s="2">
        <v>5.87</v>
      </c>
      <c r="V141" s="2">
        <v>6.04</v>
      </c>
      <c r="W141" s="2">
        <v>15.5</v>
      </c>
      <c r="X141" s="2">
        <v>35.5</v>
      </c>
      <c r="Y141" s="2">
        <v>4.51</v>
      </c>
      <c r="Z141" s="2">
        <v>16.399999999999999</v>
      </c>
      <c r="AA141" s="2">
        <v>3.44</v>
      </c>
      <c r="AB141" s="2">
        <v>0.106</v>
      </c>
      <c r="AC141" s="2">
        <v>3.7</v>
      </c>
      <c r="AD141" s="2">
        <v>0.56999999999999995</v>
      </c>
      <c r="AE141" s="2">
        <v>3.89</v>
      </c>
      <c r="AF141" s="2">
        <v>0.91</v>
      </c>
      <c r="AG141" s="2">
        <v>2.56</v>
      </c>
      <c r="AH141" s="2">
        <v>0.42299999999999999</v>
      </c>
      <c r="AI141" s="2">
        <v>3.17</v>
      </c>
      <c r="AJ141" s="2">
        <v>0.436</v>
      </c>
      <c r="AK141" s="2">
        <v>4.34</v>
      </c>
      <c r="AL141" s="2">
        <v>1.89</v>
      </c>
      <c r="AM141" s="2">
        <v>29.6</v>
      </c>
      <c r="AN141" s="2">
        <v>19.399999999999999</v>
      </c>
      <c r="AO141" s="2">
        <v>6.24</v>
      </c>
    </row>
    <row r="142" spans="1:41">
      <c r="A142" s="2">
        <v>35.9</v>
      </c>
      <c r="B142" s="1" t="s">
        <v>154</v>
      </c>
      <c r="C142" s="3">
        <v>2660000</v>
      </c>
      <c r="D142" s="2">
        <v>150000</v>
      </c>
      <c r="E142" s="2">
        <v>28820</v>
      </c>
      <c r="F142" s="2">
        <f t="shared" si="59"/>
        <v>3.8846205688098125</v>
      </c>
      <c r="G142" s="2">
        <v>3460</v>
      </c>
      <c r="H142" s="2">
        <f t="shared" si="60"/>
        <v>0.61752632518293771</v>
      </c>
      <c r="I142" s="2">
        <v>3590</v>
      </c>
      <c r="J142" s="2">
        <f t="shared" si="61"/>
        <v>0.6407281813314295</v>
      </c>
      <c r="K142" s="2">
        <v>396</v>
      </c>
      <c r="L142" s="12">
        <f t="shared" si="62"/>
        <v>6.6055045871559623E-2</v>
      </c>
      <c r="M142" s="2">
        <v>16.23</v>
      </c>
      <c r="N142" s="2">
        <v>17.510000000000002</v>
      </c>
      <c r="O142" s="2">
        <v>179.5</v>
      </c>
      <c r="P142" s="2">
        <v>5.46</v>
      </c>
      <c r="Q142" s="2">
        <v>21.4</v>
      </c>
      <c r="R142" s="2">
        <v>90</v>
      </c>
      <c r="S142" s="2">
        <v>94</v>
      </c>
      <c r="T142" s="2">
        <v>20.7</v>
      </c>
      <c r="U142" s="2">
        <v>5.63</v>
      </c>
      <c r="V142" s="2">
        <v>22.3</v>
      </c>
      <c r="W142" s="2">
        <v>19.899999999999999</v>
      </c>
      <c r="X142" s="2">
        <v>43.3</v>
      </c>
      <c r="Y142" s="2">
        <v>5.07</v>
      </c>
      <c r="Z142" s="2">
        <v>18</v>
      </c>
      <c r="AA142" s="2">
        <v>4.71</v>
      </c>
      <c r="AB142" s="2">
        <v>0.21</v>
      </c>
      <c r="AC142" s="2">
        <v>4.25</v>
      </c>
      <c r="AD142" s="2">
        <v>0.67</v>
      </c>
      <c r="AE142" s="2">
        <v>4.1100000000000003</v>
      </c>
      <c r="AF142" s="2">
        <v>0.86</v>
      </c>
      <c r="AG142" s="2">
        <v>2.48</v>
      </c>
      <c r="AH142" s="2">
        <v>0.41</v>
      </c>
      <c r="AI142" s="2">
        <v>2.68</v>
      </c>
      <c r="AJ142" s="2">
        <v>0.39200000000000002</v>
      </c>
      <c r="AK142" s="2">
        <v>4.08</v>
      </c>
      <c r="AL142" s="2">
        <v>1.71</v>
      </c>
      <c r="AM142" s="2">
        <v>27.2</v>
      </c>
      <c r="AN142" s="2">
        <v>19.2</v>
      </c>
      <c r="AO142" s="2">
        <v>6</v>
      </c>
    </row>
    <row r="143" spans="1:41">
      <c r="A143" s="2">
        <v>35.9</v>
      </c>
      <c r="B143" s="1" t="s">
        <v>155</v>
      </c>
      <c r="C143" s="3">
        <v>2680000</v>
      </c>
      <c r="D143" s="2">
        <v>300000</v>
      </c>
      <c r="E143" s="2">
        <v>28590</v>
      </c>
      <c r="F143" s="2">
        <f t="shared" si="59"/>
        <v>3.8536190861302062</v>
      </c>
      <c r="G143" s="2">
        <v>3630</v>
      </c>
      <c r="H143" s="2">
        <f t="shared" si="60"/>
        <v>0.64786721399250402</v>
      </c>
      <c r="I143" s="2">
        <v>3670</v>
      </c>
      <c r="J143" s="2">
        <f t="shared" si="61"/>
        <v>0.65500624665357843</v>
      </c>
      <c r="K143" s="2">
        <v>372</v>
      </c>
      <c r="L143" s="12">
        <f t="shared" si="62"/>
        <v>6.2051709758131776E-2</v>
      </c>
      <c r="M143" s="2">
        <v>17.899999999999999</v>
      </c>
      <c r="N143" s="2">
        <v>18.399999999999999</v>
      </c>
      <c r="O143" s="2">
        <v>180.6</v>
      </c>
      <c r="P143" s="2">
        <v>4.5999999999999996</v>
      </c>
      <c r="Q143" s="2">
        <v>22.5</v>
      </c>
      <c r="R143" s="2">
        <v>88.8</v>
      </c>
      <c r="S143" s="2">
        <v>93.1</v>
      </c>
      <c r="T143" s="2">
        <v>20.6</v>
      </c>
      <c r="U143" s="2">
        <v>5.52</v>
      </c>
      <c r="V143" s="2">
        <v>19.399999999999999</v>
      </c>
      <c r="W143" s="2">
        <v>19.670000000000002</v>
      </c>
      <c r="X143" s="2">
        <v>42.8</v>
      </c>
      <c r="Y143" s="2">
        <v>5.19</v>
      </c>
      <c r="Z143" s="2">
        <v>19.399999999999999</v>
      </c>
      <c r="AA143" s="2">
        <v>4.32</v>
      </c>
      <c r="AB143" s="2">
        <v>0.114</v>
      </c>
      <c r="AC143" s="2">
        <v>2.8</v>
      </c>
      <c r="AD143" s="2">
        <v>0.6</v>
      </c>
      <c r="AE143" s="2">
        <v>4.3</v>
      </c>
      <c r="AF143" s="2">
        <v>0.74</v>
      </c>
      <c r="AG143" s="2">
        <v>2.42</v>
      </c>
      <c r="AH143" s="2">
        <v>0.35799999999999998</v>
      </c>
      <c r="AI143" s="2">
        <v>2.09</v>
      </c>
      <c r="AJ143" s="2">
        <v>0.34899999999999998</v>
      </c>
      <c r="AK143" s="2">
        <v>4.37</v>
      </c>
      <c r="AL143" s="2">
        <v>1.66</v>
      </c>
      <c r="AM143" s="2">
        <v>27.4</v>
      </c>
      <c r="AN143" s="2">
        <v>17.940000000000001</v>
      </c>
      <c r="AO143" s="2">
        <v>6.17</v>
      </c>
    </row>
    <row r="144" spans="1:41">
      <c r="A144" s="2">
        <v>35.9</v>
      </c>
      <c r="B144" s="1" t="s">
        <v>156</v>
      </c>
      <c r="C144" s="3">
        <v>2690000</v>
      </c>
      <c r="D144" s="2">
        <v>130000</v>
      </c>
      <c r="E144" s="2">
        <v>29190</v>
      </c>
      <c r="F144" s="2">
        <f t="shared" si="59"/>
        <v>3.9344925192074407</v>
      </c>
      <c r="G144" s="2">
        <v>3200</v>
      </c>
      <c r="H144" s="2">
        <f t="shared" si="60"/>
        <v>0.5711226128859539</v>
      </c>
      <c r="I144" s="2">
        <v>3430</v>
      </c>
      <c r="J144" s="2">
        <f t="shared" si="61"/>
        <v>0.61217205068713187</v>
      </c>
      <c r="K144" s="2">
        <v>352</v>
      </c>
      <c r="L144" s="12">
        <f t="shared" si="62"/>
        <v>5.8715596330275233E-2</v>
      </c>
      <c r="M144" s="2">
        <v>16.86</v>
      </c>
      <c r="N144" s="2">
        <v>17.399999999999999</v>
      </c>
      <c r="O144" s="2">
        <v>180.3</v>
      </c>
      <c r="P144" s="2">
        <v>5.38</v>
      </c>
      <c r="Q144" s="2">
        <v>22.1</v>
      </c>
      <c r="R144" s="2">
        <v>90</v>
      </c>
      <c r="S144" s="2">
        <v>95.9</v>
      </c>
      <c r="T144" s="2">
        <v>20.32</v>
      </c>
      <c r="U144" s="2">
        <v>5.5</v>
      </c>
      <c r="V144" s="2">
        <v>19.7</v>
      </c>
      <c r="W144" s="2">
        <v>19.7</v>
      </c>
      <c r="X144" s="2">
        <v>42.4</v>
      </c>
      <c r="Y144" s="2">
        <v>4.91</v>
      </c>
      <c r="Z144" s="2">
        <v>18.5</v>
      </c>
      <c r="AA144" s="2">
        <v>4.59</v>
      </c>
      <c r="AB144" s="2">
        <v>0.25</v>
      </c>
      <c r="AC144" s="2">
        <v>3.87</v>
      </c>
      <c r="AD144" s="2">
        <v>0.63</v>
      </c>
      <c r="AE144" s="2">
        <v>3.6</v>
      </c>
      <c r="AF144" s="2">
        <v>0.74199999999999999</v>
      </c>
      <c r="AG144" s="2">
        <v>2.29</v>
      </c>
      <c r="AH144" s="2">
        <v>0.37</v>
      </c>
      <c r="AI144" s="2">
        <v>2.36</v>
      </c>
      <c r="AJ144" s="2">
        <v>0.379</v>
      </c>
      <c r="AK144" s="2">
        <v>4.29</v>
      </c>
      <c r="AL144" s="2">
        <v>1.75</v>
      </c>
      <c r="AM144" s="2">
        <v>27</v>
      </c>
      <c r="AN144" s="2">
        <v>18.399999999999999</v>
      </c>
      <c r="AO144" s="2">
        <v>6.52</v>
      </c>
    </row>
    <row r="145" spans="1:41">
      <c r="A145" s="2">
        <v>35.9</v>
      </c>
      <c r="B145" s="1" t="s">
        <v>157</v>
      </c>
      <c r="C145" s="3">
        <v>2690000</v>
      </c>
      <c r="D145" s="2">
        <v>120000</v>
      </c>
      <c r="E145" s="2">
        <v>29530</v>
      </c>
      <c r="F145" s="2">
        <f t="shared" si="59"/>
        <v>3.9803207979512067</v>
      </c>
      <c r="G145" s="2">
        <v>3610</v>
      </c>
      <c r="H145" s="2">
        <f t="shared" si="60"/>
        <v>0.64429769766196676</v>
      </c>
      <c r="I145" s="2">
        <v>3440</v>
      </c>
      <c r="J145" s="2">
        <f t="shared" si="61"/>
        <v>0.61395680885240045</v>
      </c>
      <c r="K145" s="2">
        <v>330</v>
      </c>
      <c r="L145" s="12">
        <f t="shared" si="62"/>
        <v>5.5045871559633017E-2</v>
      </c>
      <c r="M145" s="2">
        <v>16.940000000000001</v>
      </c>
      <c r="N145" s="2">
        <v>16.7</v>
      </c>
      <c r="O145" s="2">
        <v>173.4</v>
      </c>
      <c r="P145" s="2">
        <v>4.6100000000000003</v>
      </c>
      <c r="Q145" s="2">
        <v>21.9</v>
      </c>
      <c r="R145" s="2">
        <v>90.1</v>
      </c>
      <c r="S145" s="2">
        <v>90.7</v>
      </c>
      <c r="T145" s="2">
        <v>20.399999999999999</v>
      </c>
      <c r="U145" s="2">
        <v>5.32</v>
      </c>
      <c r="V145" s="2">
        <v>20</v>
      </c>
      <c r="W145" s="2">
        <v>19.5</v>
      </c>
      <c r="X145" s="2">
        <v>42.2</v>
      </c>
      <c r="Y145" s="2">
        <v>4.82</v>
      </c>
      <c r="Z145" s="2">
        <v>17.8</v>
      </c>
      <c r="AA145" s="2">
        <v>3.9</v>
      </c>
      <c r="AB145" s="2">
        <v>0.108</v>
      </c>
      <c r="AC145" s="2">
        <v>4.5999999999999996</v>
      </c>
      <c r="AD145" s="2">
        <v>0.63</v>
      </c>
      <c r="AE145" s="2">
        <v>3.67</v>
      </c>
      <c r="AF145" s="2">
        <v>0.81</v>
      </c>
      <c r="AG145" s="2">
        <v>2.38</v>
      </c>
      <c r="AH145" s="2">
        <v>0.27900000000000003</v>
      </c>
      <c r="AI145" s="2">
        <v>2.76</v>
      </c>
      <c r="AJ145" s="2">
        <v>0.35399999999999998</v>
      </c>
      <c r="AK145" s="2">
        <v>4.03</v>
      </c>
      <c r="AL145" s="2">
        <v>1.6</v>
      </c>
      <c r="AM145" s="2">
        <v>28.8</v>
      </c>
      <c r="AN145" s="2">
        <v>19.79</v>
      </c>
      <c r="AO145" s="2">
        <v>6.34</v>
      </c>
    </row>
    <row r="146" spans="1:41">
      <c r="A146" s="2">
        <v>35.9</v>
      </c>
      <c r="B146" s="1" t="s">
        <v>158</v>
      </c>
      <c r="C146" s="3">
        <v>2720000</v>
      </c>
      <c r="D146" s="2">
        <v>200000</v>
      </c>
      <c r="E146" s="2">
        <v>30300</v>
      </c>
      <c r="F146" s="2">
        <f t="shared" si="59"/>
        <v>4.0841083704003234</v>
      </c>
      <c r="G146" s="2">
        <v>3400</v>
      </c>
      <c r="H146" s="2">
        <f t="shared" si="60"/>
        <v>0.60681777619132604</v>
      </c>
      <c r="I146" s="2">
        <v>3560</v>
      </c>
      <c r="J146" s="2">
        <f t="shared" si="61"/>
        <v>0.63537390683562367</v>
      </c>
      <c r="K146" s="2">
        <v>331</v>
      </c>
      <c r="L146" s="12">
        <f t="shared" si="62"/>
        <v>5.5212677231025853E-2</v>
      </c>
      <c r="M146" s="2">
        <v>15.72</v>
      </c>
      <c r="N146" s="2">
        <v>16.77</v>
      </c>
      <c r="O146" s="2">
        <v>174.5</v>
      </c>
      <c r="P146" s="2">
        <v>5.6</v>
      </c>
      <c r="Q146" s="2">
        <v>22.5</v>
      </c>
      <c r="R146" s="2">
        <v>93.1</v>
      </c>
      <c r="S146" s="2">
        <v>92.2</v>
      </c>
      <c r="T146" s="2">
        <v>21.1</v>
      </c>
      <c r="U146" s="2">
        <v>5.26</v>
      </c>
      <c r="V146" s="2">
        <v>19.2</v>
      </c>
      <c r="W146" s="2">
        <v>19.600000000000001</v>
      </c>
      <c r="X146" s="2">
        <v>42.2</v>
      </c>
      <c r="Y146" s="2">
        <v>5.44</v>
      </c>
      <c r="Z146" s="2">
        <v>18</v>
      </c>
      <c r="AA146" s="2">
        <v>4.3600000000000003</v>
      </c>
      <c r="AB146" s="2">
        <v>0.17399999999999999</v>
      </c>
      <c r="AC146" s="2">
        <v>3.8</v>
      </c>
      <c r="AD146" s="2">
        <v>0.82</v>
      </c>
      <c r="AE146" s="2">
        <v>3.58</v>
      </c>
      <c r="AF146" s="2">
        <v>0.79</v>
      </c>
      <c r="AG146" s="2">
        <v>2.5299999999999998</v>
      </c>
      <c r="AH146" s="2">
        <v>0.46</v>
      </c>
      <c r="AI146" s="2">
        <v>2.64</v>
      </c>
      <c r="AJ146" s="2">
        <v>0.36699999999999999</v>
      </c>
      <c r="AK146" s="2">
        <v>4.1900000000000004</v>
      </c>
      <c r="AL146" s="2">
        <v>1.54</v>
      </c>
      <c r="AM146" s="2">
        <v>27.2</v>
      </c>
      <c r="AN146" s="2">
        <v>18.34</v>
      </c>
      <c r="AO146" s="2">
        <v>6.07</v>
      </c>
    </row>
    <row r="147" spans="1:41">
      <c r="A147" s="2">
        <v>35.9</v>
      </c>
      <c r="B147" s="1" t="s">
        <v>159</v>
      </c>
      <c r="C147" s="3">
        <v>2720000</v>
      </c>
      <c r="D147" s="2">
        <v>170000</v>
      </c>
      <c r="E147" s="2">
        <v>29930</v>
      </c>
      <c r="F147" s="2">
        <f t="shared" si="59"/>
        <v>4.0342364200026957</v>
      </c>
      <c r="G147" s="2">
        <v>3370</v>
      </c>
      <c r="H147" s="2">
        <f t="shared" si="60"/>
        <v>0.60146350169552021</v>
      </c>
      <c r="I147" s="2">
        <v>3470</v>
      </c>
      <c r="J147" s="2">
        <f t="shared" si="61"/>
        <v>0.61931108334820628</v>
      </c>
      <c r="K147" s="2">
        <v>344</v>
      </c>
      <c r="L147" s="12">
        <f t="shared" si="62"/>
        <v>5.7381150959132605E-2</v>
      </c>
      <c r="M147" s="2">
        <v>16.899999999999999</v>
      </c>
      <c r="N147" s="2">
        <v>16.8</v>
      </c>
      <c r="O147" s="2">
        <v>182.9</v>
      </c>
      <c r="P147" s="2">
        <v>5.19</v>
      </c>
      <c r="Q147" s="2">
        <v>22.6</v>
      </c>
      <c r="R147" s="2">
        <v>91.6</v>
      </c>
      <c r="S147" s="2">
        <v>89.8</v>
      </c>
      <c r="T147" s="2">
        <v>20.68</v>
      </c>
      <c r="U147" s="2">
        <v>5.13</v>
      </c>
      <c r="V147" s="2">
        <v>22</v>
      </c>
      <c r="W147" s="2">
        <v>19.899999999999999</v>
      </c>
      <c r="X147" s="2">
        <v>41.5</v>
      </c>
      <c r="Y147" s="2">
        <v>4.8600000000000003</v>
      </c>
      <c r="Z147" s="2">
        <v>17.5</v>
      </c>
      <c r="AA147" s="2">
        <v>3.9</v>
      </c>
      <c r="AB147" s="2">
        <v>0.17299999999999999</v>
      </c>
      <c r="AC147" s="2">
        <v>3.63</v>
      </c>
      <c r="AD147" s="2">
        <v>0.59</v>
      </c>
      <c r="AE147" s="2">
        <v>3.59</v>
      </c>
      <c r="AF147" s="2">
        <v>0.69</v>
      </c>
      <c r="AG147" s="2">
        <v>2.58</v>
      </c>
      <c r="AH147" s="2">
        <v>0.36</v>
      </c>
      <c r="AI147" s="2">
        <v>2.78</v>
      </c>
      <c r="AJ147" s="2">
        <v>0.34499999999999997</v>
      </c>
      <c r="AK147" s="2">
        <v>4.16</v>
      </c>
      <c r="AL147" s="2">
        <v>1.65</v>
      </c>
      <c r="AM147" s="2">
        <v>26.4</v>
      </c>
      <c r="AN147" s="2">
        <v>18.5</v>
      </c>
      <c r="AO147" s="2">
        <v>6.17</v>
      </c>
    </row>
    <row r="148" spans="1:41">
      <c r="A148" s="2">
        <v>35.9</v>
      </c>
      <c r="B148" s="1" t="s">
        <v>160</v>
      </c>
      <c r="C148" s="3">
        <v>2810000</v>
      </c>
      <c r="D148" s="2">
        <v>140000</v>
      </c>
      <c r="E148" s="2">
        <v>28800</v>
      </c>
      <c r="F148" s="2">
        <f t="shared" si="59"/>
        <v>3.8819247877072383</v>
      </c>
      <c r="G148" s="2">
        <v>3790</v>
      </c>
      <c r="H148" s="2">
        <f t="shared" si="60"/>
        <v>0.67642334463680176</v>
      </c>
      <c r="I148" s="2">
        <v>3590</v>
      </c>
      <c r="J148" s="2">
        <f t="shared" si="61"/>
        <v>0.6407281813314295</v>
      </c>
      <c r="K148" s="2">
        <v>367</v>
      </c>
      <c r="L148" s="12">
        <f t="shared" si="62"/>
        <v>6.1217681401167637E-2</v>
      </c>
      <c r="M148" s="2">
        <v>15.82</v>
      </c>
      <c r="N148" s="2">
        <v>15.7</v>
      </c>
      <c r="O148" s="2">
        <v>175.4</v>
      </c>
      <c r="P148" s="2">
        <v>5.15</v>
      </c>
      <c r="Q148" s="2">
        <v>22.1</v>
      </c>
      <c r="R148" s="2">
        <v>89.7</v>
      </c>
      <c r="S148" s="2">
        <v>89.3</v>
      </c>
      <c r="T148" s="2">
        <v>20.100000000000001</v>
      </c>
      <c r="U148" s="2">
        <v>4.88</v>
      </c>
      <c r="V148" s="2">
        <v>20</v>
      </c>
      <c r="W148" s="2">
        <v>19.37</v>
      </c>
      <c r="X148" s="2">
        <v>42.7</v>
      </c>
      <c r="Y148" s="2">
        <v>4.7699999999999996</v>
      </c>
      <c r="Z148" s="2">
        <v>18.600000000000001</v>
      </c>
      <c r="AA148" s="2">
        <v>3.54</v>
      </c>
      <c r="AB148" s="2">
        <v>0.20100000000000001</v>
      </c>
      <c r="AC148" s="2">
        <v>3.14</v>
      </c>
      <c r="AD148" s="2">
        <v>0.66</v>
      </c>
      <c r="AE148" s="2">
        <v>4.29</v>
      </c>
      <c r="AF148" s="2">
        <v>0.69</v>
      </c>
      <c r="AG148" s="2">
        <v>2.37</v>
      </c>
      <c r="AH148" s="2">
        <v>0.28799999999999998</v>
      </c>
      <c r="AI148" s="2">
        <v>2.5299999999999998</v>
      </c>
      <c r="AJ148" s="2">
        <v>0.32800000000000001</v>
      </c>
      <c r="AK148" s="2">
        <v>3.6</v>
      </c>
      <c r="AL148" s="2">
        <v>1.6</v>
      </c>
      <c r="AM148" s="2">
        <v>26</v>
      </c>
      <c r="AN148" s="2">
        <v>18.34</v>
      </c>
      <c r="AO148" s="2">
        <v>5.9</v>
      </c>
    </row>
    <row r="149" spans="1:41">
      <c r="A149" s="2">
        <v>35.9</v>
      </c>
      <c r="B149" s="1" t="s">
        <v>161</v>
      </c>
      <c r="C149" s="3">
        <v>2860000</v>
      </c>
      <c r="D149" s="2">
        <v>110000</v>
      </c>
      <c r="E149" s="2">
        <v>28980</v>
      </c>
      <c r="F149" s="2">
        <f t="shared" si="59"/>
        <v>3.9061868176304082</v>
      </c>
      <c r="G149" s="2">
        <v>3590</v>
      </c>
      <c r="H149" s="2">
        <f t="shared" si="60"/>
        <v>0.6407281813314295</v>
      </c>
      <c r="I149" s="2">
        <v>3670</v>
      </c>
      <c r="J149" s="2">
        <f t="shared" si="61"/>
        <v>0.65500624665357843</v>
      </c>
      <c r="K149" s="2">
        <v>334</v>
      </c>
      <c r="L149" s="12">
        <f t="shared" si="62"/>
        <v>5.5713094245204334E-2</v>
      </c>
      <c r="M149" s="2">
        <v>15.57</v>
      </c>
      <c r="N149" s="2">
        <v>16.510000000000002</v>
      </c>
      <c r="O149" s="2">
        <v>174.9</v>
      </c>
      <c r="P149" s="2">
        <v>5.22</v>
      </c>
      <c r="Q149" s="2">
        <v>22.3</v>
      </c>
      <c r="R149" s="2">
        <v>89.6</v>
      </c>
      <c r="S149" s="2">
        <v>91.1</v>
      </c>
      <c r="T149" s="2">
        <v>20.72</v>
      </c>
      <c r="U149" s="2">
        <v>5.49</v>
      </c>
      <c r="V149" s="2">
        <v>21.7</v>
      </c>
      <c r="W149" s="2">
        <v>20</v>
      </c>
      <c r="X149" s="2">
        <v>43.2</v>
      </c>
      <c r="Y149" s="2">
        <v>5.15</v>
      </c>
      <c r="Z149" s="2">
        <v>18</v>
      </c>
      <c r="AA149" s="2">
        <v>4.78</v>
      </c>
      <c r="AB149" s="2">
        <v>7.1999999999999995E-2</v>
      </c>
      <c r="AC149" s="2">
        <v>3.47</v>
      </c>
      <c r="AD149" s="2">
        <v>0.74</v>
      </c>
      <c r="AE149" s="2">
        <v>3.55</v>
      </c>
      <c r="AF149" s="2">
        <v>0.93</v>
      </c>
      <c r="AG149" s="2">
        <v>2.8</v>
      </c>
      <c r="AH149" s="2">
        <v>0.39</v>
      </c>
      <c r="AI149" s="2">
        <v>2.64</v>
      </c>
      <c r="AJ149" s="2">
        <v>0.36399999999999999</v>
      </c>
      <c r="AK149" s="2">
        <v>4.4400000000000004</v>
      </c>
      <c r="AL149" s="2">
        <v>1.81</v>
      </c>
      <c r="AM149" s="2">
        <v>27.6</v>
      </c>
      <c r="AN149" s="2">
        <v>18.93</v>
      </c>
      <c r="AO149" s="2">
        <v>6.15</v>
      </c>
    </row>
    <row r="150" spans="1:41">
      <c r="A150" s="2">
        <v>35.9</v>
      </c>
      <c r="B150" s="1" t="s">
        <v>162</v>
      </c>
      <c r="C150" s="3">
        <v>2470000</v>
      </c>
      <c r="D150" s="2">
        <v>180000</v>
      </c>
      <c r="E150" s="2">
        <v>28420</v>
      </c>
      <c r="F150" s="2">
        <f t="shared" si="59"/>
        <v>3.8307049467583232</v>
      </c>
      <c r="G150" s="2">
        <v>3170</v>
      </c>
      <c r="H150" s="2">
        <f t="shared" si="60"/>
        <v>0.56576833839014806</v>
      </c>
      <c r="I150" s="2">
        <v>3430</v>
      </c>
      <c r="J150" s="2">
        <f t="shared" si="61"/>
        <v>0.61217205068713187</v>
      </c>
      <c r="K150" s="2">
        <v>324</v>
      </c>
      <c r="L150" s="12">
        <f t="shared" si="62"/>
        <v>5.4045037531276055E-2</v>
      </c>
      <c r="M150" s="2">
        <v>17.100000000000001</v>
      </c>
      <c r="N150" s="2">
        <v>16.8</v>
      </c>
      <c r="O150" s="2">
        <v>175.9</v>
      </c>
      <c r="P150" s="2">
        <v>5.61</v>
      </c>
      <c r="Q150" s="2">
        <v>21.3</v>
      </c>
      <c r="R150" s="2">
        <v>88.6</v>
      </c>
      <c r="S150" s="2">
        <v>89.4</v>
      </c>
      <c r="T150" s="2">
        <v>19.600000000000001</v>
      </c>
      <c r="U150" s="2">
        <v>5.78</v>
      </c>
      <c r="V150" s="2">
        <v>20</v>
      </c>
      <c r="W150" s="2">
        <v>19.2</v>
      </c>
      <c r="X150" s="2">
        <v>40.6</v>
      </c>
      <c r="Y150" s="2">
        <v>4.68</v>
      </c>
      <c r="Z150" s="2">
        <v>16.399999999999999</v>
      </c>
      <c r="AA150" s="2">
        <v>3.62</v>
      </c>
      <c r="AB150" s="2">
        <v>0.27</v>
      </c>
      <c r="AC150" s="2">
        <v>4.4000000000000004</v>
      </c>
      <c r="AD150" s="2">
        <v>0.71</v>
      </c>
      <c r="AE150" s="2">
        <v>3.66</v>
      </c>
      <c r="AF150" s="2">
        <v>0.69</v>
      </c>
      <c r="AG150" s="2">
        <v>2.3199999999999998</v>
      </c>
      <c r="AH150" s="2">
        <v>0.37</v>
      </c>
      <c r="AI150" s="2">
        <v>2.64</v>
      </c>
      <c r="AJ150" s="2">
        <v>0.379</v>
      </c>
      <c r="AK150" s="2">
        <v>3.99</v>
      </c>
      <c r="AL150" s="2">
        <v>1.58</v>
      </c>
      <c r="AM150" s="2">
        <v>28.1</v>
      </c>
      <c r="AN150" s="2">
        <v>18.3</v>
      </c>
      <c r="AO150" s="2">
        <v>6.12</v>
      </c>
    </row>
    <row r="151" spans="1:41">
      <c r="A151" s="2">
        <v>35.9</v>
      </c>
      <c r="B151" s="1" t="s">
        <v>163</v>
      </c>
      <c r="C151" s="3">
        <v>2620000</v>
      </c>
      <c r="D151" s="2">
        <v>130000</v>
      </c>
      <c r="E151" s="2">
        <v>30710</v>
      </c>
      <c r="F151" s="2">
        <f t="shared" si="59"/>
        <v>4.1393718830030997</v>
      </c>
      <c r="G151" s="2">
        <v>4230</v>
      </c>
      <c r="H151" s="2">
        <f t="shared" si="60"/>
        <v>0.75495270390862035</v>
      </c>
      <c r="I151" s="2">
        <v>3800</v>
      </c>
      <c r="J151" s="2">
        <f t="shared" si="61"/>
        <v>0.67820810280207033</v>
      </c>
      <c r="K151" s="2">
        <v>341</v>
      </c>
      <c r="L151" s="12">
        <f t="shared" si="62"/>
        <v>5.6880733944954125E-2</v>
      </c>
      <c r="M151" s="2">
        <v>17.38</v>
      </c>
      <c r="N151" s="2">
        <v>16.829999999999998</v>
      </c>
      <c r="O151" s="2">
        <v>185.3</v>
      </c>
      <c r="P151" s="2">
        <v>5.32</v>
      </c>
      <c r="Q151" s="2">
        <v>23.1</v>
      </c>
      <c r="R151" s="2">
        <v>93.7</v>
      </c>
      <c r="S151" s="2">
        <v>90.7</v>
      </c>
      <c r="T151" s="2">
        <v>20.96</v>
      </c>
      <c r="U151" s="2">
        <v>5.25</v>
      </c>
      <c r="V151" s="2">
        <v>21.9</v>
      </c>
      <c r="W151" s="2">
        <v>20</v>
      </c>
      <c r="X151" s="2">
        <v>43.2</v>
      </c>
      <c r="Y151" s="2">
        <v>5.36</v>
      </c>
      <c r="Z151" s="2">
        <v>18.5</v>
      </c>
      <c r="AA151" s="2">
        <v>4.25</v>
      </c>
      <c r="AB151" s="2">
        <v>0.19800000000000001</v>
      </c>
      <c r="AC151" s="2">
        <v>4.3</v>
      </c>
      <c r="AD151" s="2">
        <v>0.69</v>
      </c>
      <c r="AE151" s="2">
        <v>3.75</v>
      </c>
      <c r="AF151" s="2">
        <v>0.8</v>
      </c>
      <c r="AG151" s="2">
        <v>2.72</v>
      </c>
      <c r="AH151" s="2">
        <v>0.39</v>
      </c>
      <c r="AI151" s="2">
        <v>2.63</v>
      </c>
      <c r="AJ151" s="2">
        <v>0.372</v>
      </c>
      <c r="AK151" s="2">
        <v>4.13</v>
      </c>
      <c r="AL151" s="2">
        <v>1.74</v>
      </c>
      <c r="AM151" s="2">
        <v>27.1</v>
      </c>
      <c r="AN151" s="2">
        <v>18.989999999999998</v>
      </c>
      <c r="AO151" s="2">
        <v>6.15</v>
      </c>
    </row>
    <row r="152" spans="1:41">
      <c r="A152" s="2">
        <v>35.9</v>
      </c>
      <c r="B152" s="1" t="s">
        <v>164</v>
      </c>
      <c r="C152" s="3">
        <v>2850000</v>
      </c>
      <c r="D152" s="2">
        <v>180000</v>
      </c>
      <c r="E152" s="2">
        <v>30380</v>
      </c>
      <c r="F152" s="2">
        <f t="shared" si="59"/>
        <v>4.0948914948106214</v>
      </c>
      <c r="G152" s="2">
        <v>3880</v>
      </c>
      <c r="H152" s="2">
        <f t="shared" si="60"/>
        <v>0.69248616812421915</v>
      </c>
      <c r="I152" s="2">
        <v>3660</v>
      </c>
      <c r="J152" s="2">
        <f t="shared" si="61"/>
        <v>0.65322148848830985</v>
      </c>
      <c r="K152" s="2">
        <v>352</v>
      </c>
      <c r="L152" s="12">
        <f t="shared" si="62"/>
        <v>5.8715596330275233E-2</v>
      </c>
      <c r="M152" s="2">
        <v>16.63</v>
      </c>
      <c r="N152" s="2">
        <v>16.7</v>
      </c>
      <c r="O152" s="2">
        <v>178.4</v>
      </c>
      <c r="P152" s="2">
        <v>5.08</v>
      </c>
      <c r="Q152" s="2">
        <v>22.6</v>
      </c>
      <c r="R152" s="2">
        <v>89.4</v>
      </c>
      <c r="S152" s="2">
        <v>91.3</v>
      </c>
      <c r="T152" s="2">
        <v>20.37</v>
      </c>
      <c r="U152" s="2">
        <v>5.16</v>
      </c>
      <c r="V152" s="2">
        <v>19.600000000000001</v>
      </c>
      <c r="W152" s="2">
        <v>19.899999999999999</v>
      </c>
      <c r="X152" s="2">
        <v>43.1</v>
      </c>
      <c r="Y152" s="2">
        <v>5.15</v>
      </c>
      <c r="Z152" s="2">
        <v>18.5</v>
      </c>
      <c r="AA152" s="2">
        <v>4.46</v>
      </c>
      <c r="AB152" s="2">
        <v>0.17299999999999999</v>
      </c>
      <c r="AC152" s="2">
        <v>3.66</v>
      </c>
      <c r="AD152" s="2">
        <v>0.74</v>
      </c>
      <c r="AE152" s="2">
        <v>3.56</v>
      </c>
      <c r="AF152" s="2">
        <v>0.73</v>
      </c>
      <c r="AG152" s="2">
        <v>2.4</v>
      </c>
      <c r="AH152" s="2">
        <v>0.38500000000000001</v>
      </c>
      <c r="AI152" s="2">
        <v>2.57</v>
      </c>
      <c r="AJ152" s="2">
        <v>0.36899999999999999</v>
      </c>
      <c r="AK152" s="2">
        <v>3.98</v>
      </c>
      <c r="AL152" s="2">
        <v>1.73</v>
      </c>
      <c r="AM152" s="2">
        <v>27.3</v>
      </c>
      <c r="AN152" s="2">
        <v>17.79</v>
      </c>
      <c r="AO152" s="2">
        <v>6.23</v>
      </c>
    </row>
    <row r="153" spans="1:41">
      <c r="A153" s="2">
        <v>35.9</v>
      </c>
      <c r="B153" s="1" t="s">
        <v>165</v>
      </c>
      <c r="C153" s="3">
        <v>2660000</v>
      </c>
      <c r="D153" s="2">
        <v>170000</v>
      </c>
      <c r="E153" s="2">
        <v>29730</v>
      </c>
      <c r="F153" s="2">
        <f t="shared" si="59"/>
        <v>4.007278608976951</v>
      </c>
      <c r="G153" s="2">
        <v>3870</v>
      </c>
      <c r="H153" s="2">
        <f t="shared" si="60"/>
        <v>0.69070140995895057</v>
      </c>
      <c r="I153" s="2">
        <v>3740</v>
      </c>
      <c r="J153" s="2">
        <f t="shared" si="61"/>
        <v>0.66749955381045867</v>
      </c>
      <c r="K153" s="2">
        <v>355</v>
      </c>
      <c r="L153" s="12">
        <f t="shared" si="62"/>
        <v>5.9216013344453713E-2</v>
      </c>
      <c r="M153" s="2">
        <v>17.010000000000002</v>
      </c>
      <c r="N153" s="2">
        <v>17.899999999999999</v>
      </c>
      <c r="O153" s="2">
        <v>185.6</v>
      </c>
      <c r="P153" s="2">
        <v>5.72</v>
      </c>
      <c r="Q153" s="2">
        <v>22.96</v>
      </c>
      <c r="R153" s="2">
        <v>93.7</v>
      </c>
      <c r="S153" s="2">
        <v>91.3</v>
      </c>
      <c r="T153" s="2">
        <v>20.399999999999999</v>
      </c>
      <c r="U153" s="2">
        <v>5.51</v>
      </c>
      <c r="V153" s="2">
        <v>21.6</v>
      </c>
      <c r="W153" s="2">
        <v>21.4</v>
      </c>
      <c r="X153" s="2">
        <v>45.4</v>
      </c>
      <c r="Y153" s="2">
        <v>5.47</v>
      </c>
      <c r="Z153" s="2">
        <v>19.2</v>
      </c>
      <c r="AA153" s="2">
        <v>4.62</v>
      </c>
      <c r="AB153" s="2">
        <v>0.13100000000000001</v>
      </c>
      <c r="AC153" s="2">
        <v>4.1900000000000004</v>
      </c>
      <c r="AD153" s="2">
        <v>0.68</v>
      </c>
      <c r="AE153" s="2">
        <v>4.05</v>
      </c>
      <c r="AF153" s="2">
        <v>0.93</v>
      </c>
      <c r="AG153" s="2">
        <v>2.0499999999999998</v>
      </c>
      <c r="AH153" s="2">
        <v>0.4</v>
      </c>
      <c r="AI153" s="2">
        <v>2.5</v>
      </c>
      <c r="AJ153" s="2">
        <v>0.435</v>
      </c>
      <c r="AK153" s="2">
        <v>4.04</v>
      </c>
      <c r="AL153" s="2">
        <v>1.66</v>
      </c>
      <c r="AM153" s="2">
        <v>27.2</v>
      </c>
      <c r="AN153" s="2">
        <v>19.3</v>
      </c>
      <c r="AO153" s="2">
        <v>6.71</v>
      </c>
    </row>
    <row r="154" spans="1:41">
      <c r="A154" s="2">
        <v>35.9</v>
      </c>
      <c r="B154" s="1" t="s">
        <v>166</v>
      </c>
      <c r="C154" s="3">
        <v>2760000</v>
      </c>
      <c r="D154" s="2">
        <v>110000</v>
      </c>
      <c r="E154" s="2">
        <v>29460</v>
      </c>
      <c r="F154" s="2">
        <f t="shared" si="59"/>
        <v>3.9708855640921961</v>
      </c>
      <c r="G154" s="2">
        <v>3670</v>
      </c>
      <c r="H154" s="2">
        <f t="shared" si="60"/>
        <v>0.65500624665357843</v>
      </c>
      <c r="I154" s="2">
        <v>3373</v>
      </c>
      <c r="J154" s="2">
        <f t="shared" si="61"/>
        <v>0.60199892914510078</v>
      </c>
      <c r="K154" s="2">
        <v>345</v>
      </c>
      <c r="L154" s="12">
        <f t="shared" si="62"/>
        <v>5.7547956630525435E-2</v>
      </c>
      <c r="M154" s="2">
        <v>16.760000000000002</v>
      </c>
      <c r="N154" s="2">
        <v>16.8</v>
      </c>
      <c r="O154" s="2">
        <v>181.6</v>
      </c>
      <c r="P154" s="2">
        <v>4.8600000000000003</v>
      </c>
      <c r="Q154" s="2">
        <v>21.5</v>
      </c>
      <c r="R154" s="2">
        <v>91.8</v>
      </c>
      <c r="S154" s="2">
        <v>89.4</v>
      </c>
      <c r="T154" s="2">
        <v>20.9</v>
      </c>
      <c r="U154" s="2">
        <v>5.63</v>
      </c>
      <c r="V154" s="2">
        <v>20.3</v>
      </c>
      <c r="W154" s="2">
        <v>20.440000000000001</v>
      </c>
      <c r="X154" s="2">
        <v>42</v>
      </c>
      <c r="Y154" s="2">
        <v>5.17</v>
      </c>
      <c r="Z154" s="2">
        <v>19.100000000000001</v>
      </c>
      <c r="AA154" s="2">
        <v>4.04</v>
      </c>
      <c r="AB154" s="2">
        <v>0.16600000000000001</v>
      </c>
      <c r="AC154" s="2">
        <v>3.2</v>
      </c>
      <c r="AD154" s="2">
        <v>0.53</v>
      </c>
      <c r="AE154" s="2">
        <v>3.82</v>
      </c>
      <c r="AF154" s="2">
        <v>0.74</v>
      </c>
      <c r="AG154" s="2">
        <v>2.27</v>
      </c>
      <c r="AH154" s="2">
        <v>0.34</v>
      </c>
      <c r="AI154" s="2">
        <v>2.44</v>
      </c>
      <c r="AJ154" s="2">
        <v>0.29899999999999999</v>
      </c>
      <c r="AK154" s="2">
        <v>4.4000000000000004</v>
      </c>
      <c r="AL154" s="2">
        <v>1.77</v>
      </c>
      <c r="AM154" s="2">
        <v>27.05</v>
      </c>
      <c r="AN154" s="2">
        <v>19.2</v>
      </c>
      <c r="AO154" s="2">
        <v>6.46</v>
      </c>
    </row>
    <row r="155" spans="1:41">
      <c r="A155" s="2">
        <v>35.9</v>
      </c>
      <c r="B155" s="1" t="s">
        <v>167</v>
      </c>
      <c r="C155" s="3">
        <v>2800000</v>
      </c>
      <c r="D155" s="2">
        <v>160000</v>
      </c>
      <c r="E155" s="2">
        <v>29690</v>
      </c>
      <c r="F155" s="2">
        <f t="shared" si="59"/>
        <v>4.0018870467718024</v>
      </c>
      <c r="G155" s="2">
        <v>3140</v>
      </c>
      <c r="H155" s="2">
        <f t="shared" si="60"/>
        <v>0.56041406389434234</v>
      </c>
      <c r="I155" s="2">
        <v>3360</v>
      </c>
      <c r="J155" s="2">
        <f t="shared" si="61"/>
        <v>0.59967874353025163</v>
      </c>
      <c r="K155" s="2">
        <v>349</v>
      </c>
      <c r="L155" s="12">
        <f t="shared" si="62"/>
        <v>5.8215179316096752E-2</v>
      </c>
      <c r="M155" s="2">
        <v>16.600000000000001</v>
      </c>
      <c r="N155" s="2">
        <v>16.5</v>
      </c>
      <c r="O155" s="2">
        <v>179.7</v>
      </c>
      <c r="P155" s="2">
        <v>5.32</v>
      </c>
      <c r="Q155" s="2">
        <v>22.21</v>
      </c>
      <c r="R155" s="2">
        <v>91.8</v>
      </c>
      <c r="S155" s="2">
        <v>92.9</v>
      </c>
      <c r="T155" s="2">
        <v>21.27</v>
      </c>
      <c r="U155" s="2">
        <v>5.6</v>
      </c>
      <c r="V155" s="2">
        <v>21.1</v>
      </c>
      <c r="W155" s="2">
        <v>20.13</v>
      </c>
      <c r="X155" s="2">
        <v>42.7</v>
      </c>
      <c r="Y155" s="2">
        <v>4.88</v>
      </c>
      <c r="Z155" s="2">
        <v>16.899999999999999</v>
      </c>
      <c r="AA155" s="2">
        <v>3.53</v>
      </c>
      <c r="AB155" s="2">
        <v>0.122</v>
      </c>
      <c r="AC155" s="2">
        <v>3.87</v>
      </c>
      <c r="AD155" s="2">
        <v>0.73</v>
      </c>
      <c r="AE155" s="2">
        <v>4.2300000000000004</v>
      </c>
      <c r="AF155" s="2">
        <v>0.87</v>
      </c>
      <c r="AG155" s="2">
        <v>2.34</v>
      </c>
      <c r="AH155" s="2">
        <v>0.4</v>
      </c>
      <c r="AI155" s="2">
        <v>2.31</v>
      </c>
      <c r="AJ155" s="2">
        <v>0.34200000000000003</v>
      </c>
      <c r="AK155" s="2">
        <v>4</v>
      </c>
      <c r="AL155" s="2">
        <v>1.61</v>
      </c>
      <c r="AM155" s="2">
        <v>27.3</v>
      </c>
      <c r="AN155" s="2">
        <v>19</v>
      </c>
      <c r="AO155" s="2">
        <v>6.14</v>
      </c>
    </row>
    <row r="156" spans="1:41">
      <c r="A156" s="2">
        <v>35.9</v>
      </c>
      <c r="B156" s="1" t="s">
        <v>168</v>
      </c>
      <c r="C156" s="3">
        <v>2730000</v>
      </c>
      <c r="D156" s="2">
        <v>180000</v>
      </c>
      <c r="E156" s="2">
        <v>30660</v>
      </c>
      <c r="F156" s="2">
        <f t="shared" si="59"/>
        <v>4.1326324302466642</v>
      </c>
      <c r="G156" s="2">
        <v>3650</v>
      </c>
      <c r="H156" s="2">
        <f t="shared" si="60"/>
        <v>0.65143673032304128</v>
      </c>
      <c r="I156" s="2">
        <v>3610</v>
      </c>
      <c r="J156" s="2">
        <f t="shared" si="61"/>
        <v>0.64429769766196676</v>
      </c>
      <c r="K156" s="2">
        <v>368</v>
      </c>
      <c r="L156" s="12">
        <f t="shared" si="62"/>
        <v>6.1384487072560466E-2</v>
      </c>
      <c r="M156" s="2">
        <v>16.899999999999999</v>
      </c>
      <c r="N156" s="2">
        <v>16.71</v>
      </c>
      <c r="O156" s="2">
        <v>181.8</v>
      </c>
      <c r="P156" s="2">
        <v>5.66</v>
      </c>
      <c r="Q156" s="2">
        <v>22.7</v>
      </c>
      <c r="R156" s="2">
        <v>89.3</v>
      </c>
      <c r="S156" s="2">
        <v>91.7</v>
      </c>
      <c r="T156" s="2">
        <v>20.100000000000001</v>
      </c>
      <c r="U156" s="2">
        <v>5.44</v>
      </c>
      <c r="V156" s="2">
        <v>19.7</v>
      </c>
      <c r="W156" s="2">
        <v>20.23</v>
      </c>
      <c r="X156" s="2">
        <v>42.9</v>
      </c>
      <c r="Y156" s="2">
        <v>5</v>
      </c>
      <c r="Z156" s="2">
        <v>19.3</v>
      </c>
      <c r="AA156" s="2">
        <v>4.1500000000000004</v>
      </c>
      <c r="AB156" s="2">
        <v>0.18099999999999999</v>
      </c>
      <c r="AC156" s="2">
        <v>3.41</v>
      </c>
      <c r="AD156" s="2">
        <v>0.67</v>
      </c>
      <c r="AE156" s="2">
        <v>3.94</v>
      </c>
      <c r="AF156" s="2">
        <v>0.75</v>
      </c>
      <c r="AG156" s="2">
        <v>2.44</v>
      </c>
      <c r="AH156" s="2">
        <v>0.35499999999999998</v>
      </c>
      <c r="AI156" s="2">
        <v>2.75</v>
      </c>
      <c r="AJ156" s="2">
        <v>0.41699999999999998</v>
      </c>
      <c r="AK156" s="2">
        <v>4.42</v>
      </c>
      <c r="AL156" s="2">
        <v>1.7</v>
      </c>
      <c r="AM156" s="2">
        <v>26.7</v>
      </c>
      <c r="AN156" s="2">
        <v>18.77</v>
      </c>
      <c r="AO156" s="2">
        <v>6.11</v>
      </c>
    </row>
    <row r="157" spans="1:41">
      <c r="A157" s="2">
        <v>35.9</v>
      </c>
      <c r="B157" s="1" t="s">
        <v>169</v>
      </c>
      <c r="C157" s="3">
        <v>2930000</v>
      </c>
      <c r="D157" s="2">
        <v>150000</v>
      </c>
      <c r="E157" s="2">
        <v>29480</v>
      </c>
      <c r="F157" s="2">
        <f t="shared" si="59"/>
        <v>3.9735813451947704</v>
      </c>
      <c r="G157" s="2">
        <v>3690</v>
      </c>
      <c r="H157" s="2">
        <f t="shared" si="60"/>
        <v>0.65857576298411558</v>
      </c>
      <c r="I157" s="2">
        <v>3790</v>
      </c>
      <c r="J157" s="2">
        <f t="shared" si="61"/>
        <v>0.67642334463680176</v>
      </c>
      <c r="K157" s="2">
        <v>384</v>
      </c>
      <c r="L157" s="12">
        <f t="shared" si="62"/>
        <v>6.4053377814845699E-2</v>
      </c>
      <c r="M157" s="2">
        <v>17.34</v>
      </c>
      <c r="N157" s="2">
        <v>17.190000000000001</v>
      </c>
      <c r="O157" s="2">
        <v>182.4</v>
      </c>
      <c r="P157" s="2">
        <v>5.31</v>
      </c>
      <c r="Q157" s="2">
        <v>23.3</v>
      </c>
      <c r="R157" s="2">
        <v>95</v>
      </c>
      <c r="S157" s="2">
        <v>98.7</v>
      </c>
      <c r="T157" s="2">
        <v>20.6</v>
      </c>
      <c r="U157" s="2">
        <v>5.55</v>
      </c>
      <c r="V157" s="2">
        <v>20.5</v>
      </c>
      <c r="W157" s="2">
        <v>21.5</v>
      </c>
      <c r="X157" s="2">
        <v>46.6</v>
      </c>
      <c r="Y157" s="2">
        <v>5.47</v>
      </c>
      <c r="Z157" s="2">
        <v>20</v>
      </c>
      <c r="AA157" s="2">
        <v>5.0599999999999996</v>
      </c>
      <c r="AB157" s="2">
        <v>0.17599999999999999</v>
      </c>
      <c r="AC157" s="2">
        <v>3.97</v>
      </c>
      <c r="AD157" s="2">
        <v>0.75</v>
      </c>
      <c r="AE157" s="2">
        <v>4.08</v>
      </c>
      <c r="AF157" s="2">
        <v>0.8</v>
      </c>
      <c r="AG157" s="2">
        <v>2.3199999999999998</v>
      </c>
      <c r="AH157" s="2">
        <v>0.37</v>
      </c>
      <c r="AI157" s="2">
        <v>3.18</v>
      </c>
      <c r="AJ157" s="2">
        <v>0.433</v>
      </c>
      <c r="AK157" s="2">
        <v>4.57</v>
      </c>
      <c r="AL157" s="2">
        <v>1.7</v>
      </c>
      <c r="AM157" s="2">
        <v>28</v>
      </c>
      <c r="AN157" s="2">
        <v>19.899999999999999</v>
      </c>
      <c r="AO157" s="2">
        <v>6.44</v>
      </c>
    </row>
    <row r="158" spans="1:41">
      <c r="A158" s="2">
        <v>35.9</v>
      </c>
      <c r="B158" s="1" t="s">
        <v>170</v>
      </c>
      <c r="C158" s="3">
        <v>2610000</v>
      </c>
      <c r="D158" s="2">
        <v>160000</v>
      </c>
      <c r="E158" s="2">
        <v>29040</v>
      </c>
      <c r="F158" s="2">
        <f t="shared" si="59"/>
        <v>3.9142741609381315</v>
      </c>
      <c r="G158" s="2">
        <v>3580</v>
      </c>
      <c r="H158" s="2">
        <f t="shared" si="60"/>
        <v>0.63894342316616093</v>
      </c>
      <c r="I158" s="2">
        <v>3620</v>
      </c>
      <c r="J158" s="2">
        <f t="shared" si="61"/>
        <v>0.64608245582723534</v>
      </c>
      <c r="K158" s="2">
        <v>356</v>
      </c>
      <c r="L158" s="12">
        <f t="shared" si="62"/>
        <v>5.9382819015846529E-2</v>
      </c>
      <c r="M158" s="2">
        <v>15.83</v>
      </c>
      <c r="N158" s="2">
        <v>16.3</v>
      </c>
      <c r="O158" s="2">
        <v>175.7</v>
      </c>
      <c r="P158" s="2">
        <v>5.13</v>
      </c>
      <c r="Q158" s="2">
        <v>22</v>
      </c>
      <c r="R158" s="2">
        <v>91.8</v>
      </c>
      <c r="S158" s="2">
        <v>89.3</v>
      </c>
      <c r="T158" s="2">
        <v>20.8</v>
      </c>
      <c r="U158" s="2">
        <v>5.56</v>
      </c>
      <c r="V158" s="2">
        <v>20.7</v>
      </c>
      <c r="W158" s="2">
        <v>20.3</v>
      </c>
      <c r="X158" s="2">
        <v>42.7</v>
      </c>
      <c r="Y158" s="2">
        <v>5.07</v>
      </c>
      <c r="Z158" s="2">
        <v>18.600000000000001</v>
      </c>
      <c r="AA158" s="2">
        <v>4.46</v>
      </c>
      <c r="AB158" s="2">
        <v>0.186</v>
      </c>
      <c r="AC158" s="2">
        <v>2.56</v>
      </c>
      <c r="AD158" s="2">
        <v>0.62</v>
      </c>
      <c r="AE158" s="2">
        <v>4.07</v>
      </c>
      <c r="AF158" s="2">
        <v>0.72</v>
      </c>
      <c r="AG158" s="2">
        <v>2.5</v>
      </c>
      <c r="AH158" s="2">
        <v>0.36299999999999999</v>
      </c>
      <c r="AI158" s="2">
        <v>1.9</v>
      </c>
      <c r="AJ158" s="2">
        <v>0.37</v>
      </c>
      <c r="AK158" s="2">
        <v>4.16</v>
      </c>
      <c r="AL158" s="2">
        <v>1.56</v>
      </c>
      <c r="AM158" s="2">
        <v>26.7</v>
      </c>
      <c r="AN158" s="2">
        <v>18.36</v>
      </c>
      <c r="AO158" s="2">
        <v>6.12</v>
      </c>
    </row>
    <row r="159" spans="1:41">
      <c r="A159" s="2">
        <v>35.9</v>
      </c>
      <c r="B159" s="1" t="s">
        <v>171</v>
      </c>
      <c r="C159" s="3">
        <v>2870000</v>
      </c>
      <c r="D159" s="2">
        <v>180000</v>
      </c>
      <c r="E159" s="2">
        <v>29340</v>
      </c>
      <c r="F159" s="2">
        <f t="shared" si="59"/>
        <v>3.954710877476749</v>
      </c>
      <c r="G159" s="2">
        <v>3560</v>
      </c>
      <c r="H159" s="2">
        <f t="shared" si="60"/>
        <v>0.63537390683562367</v>
      </c>
      <c r="I159" s="2">
        <v>3600</v>
      </c>
      <c r="J159" s="2">
        <f t="shared" si="61"/>
        <v>0.64251293949669819</v>
      </c>
      <c r="K159" s="2">
        <v>361</v>
      </c>
      <c r="L159" s="12">
        <f t="shared" si="62"/>
        <v>6.0216847372810675E-2</v>
      </c>
      <c r="M159" s="2">
        <v>15.35</v>
      </c>
      <c r="N159" s="2">
        <v>16.399999999999999</v>
      </c>
      <c r="O159" s="2">
        <v>174.1</v>
      </c>
      <c r="P159" s="2">
        <v>5.36</v>
      </c>
      <c r="Q159" s="2">
        <v>22.36</v>
      </c>
      <c r="R159" s="2">
        <v>92.8</v>
      </c>
      <c r="S159" s="2">
        <v>90.4</v>
      </c>
      <c r="T159" s="2">
        <v>20.12</v>
      </c>
      <c r="U159" s="2">
        <v>5.78</v>
      </c>
      <c r="V159" s="2">
        <v>20.7</v>
      </c>
      <c r="W159" s="2">
        <v>20.9</v>
      </c>
      <c r="X159" s="2">
        <v>43.7</v>
      </c>
      <c r="Y159" s="2">
        <v>5.3</v>
      </c>
      <c r="Z159" s="2">
        <v>18.399999999999999</v>
      </c>
      <c r="AA159" s="2">
        <v>4.3499999999999996</v>
      </c>
      <c r="AB159" s="2">
        <v>0.19</v>
      </c>
      <c r="AC159" s="2">
        <v>3.51</v>
      </c>
      <c r="AD159" s="2">
        <v>0.61</v>
      </c>
      <c r="AE159" s="2">
        <v>3.98</v>
      </c>
      <c r="AF159" s="2">
        <v>0.79</v>
      </c>
      <c r="AG159" s="2">
        <v>2.69</v>
      </c>
      <c r="AH159" s="2">
        <v>0.32800000000000001</v>
      </c>
      <c r="AI159" s="2">
        <v>2.2200000000000002</v>
      </c>
      <c r="AJ159" s="2">
        <v>0.38200000000000001</v>
      </c>
      <c r="AK159" s="2">
        <v>4.2</v>
      </c>
      <c r="AL159" s="2">
        <v>1.74</v>
      </c>
      <c r="AM159" s="2">
        <v>25.6</v>
      </c>
      <c r="AN159" s="2">
        <v>18.399999999999999</v>
      </c>
      <c r="AO159" s="2">
        <v>5.93</v>
      </c>
    </row>
    <row r="160" spans="1:41">
      <c r="A160" s="2">
        <v>35.9</v>
      </c>
      <c r="B160" s="1" t="s">
        <v>172</v>
      </c>
      <c r="C160" s="3">
        <v>2790000</v>
      </c>
      <c r="D160" s="2">
        <v>170000</v>
      </c>
      <c r="E160" s="2">
        <v>29710</v>
      </c>
      <c r="F160" s="2">
        <f t="shared" si="59"/>
        <v>4.0045828278743762</v>
      </c>
      <c r="G160" s="2">
        <v>3670</v>
      </c>
      <c r="H160" s="2">
        <f t="shared" si="60"/>
        <v>0.65500624665357843</v>
      </c>
      <c r="I160" s="2">
        <v>3600</v>
      </c>
      <c r="J160" s="2">
        <f t="shared" si="61"/>
        <v>0.64251293949669819</v>
      </c>
      <c r="K160" s="2">
        <v>354</v>
      </c>
      <c r="L160" s="12">
        <f t="shared" si="62"/>
        <v>5.9049207673060877E-2</v>
      </c>
      <c r="M160" s="2">
        <v>17</v>
      </c>
      <c r="N160" s="2">
        <v>16.100000000000001</v>
      </c>
      <c r="O160" s="2">
        <v>175.8</v>
      </c>
      <c r="P160" s="2">
        <v>5.45</v>
      </c>
      <c r="Q160" s="2">
        <v>22.6</v>
      </c>
      <c r="R160" s="2">
        <v>91.4</v>
      </c>
      <c r="S160" s="2">
        <v>90.9</v>
      </c>
      <c r="T160" s="2">
        <v>19.899999999999999</v>
      </c>
      <c r="U160" s="2">
        <v>5.62</v>
      </c>
      <c r="V160" s="2">
        <v>20.100000000000001</v>
      </c>
      <c r="W160" s="2">
        <v>20.8</v>
      </c>
      <c r="X160" s="2">
        <v>44.9</v>
      </c>
      <c r="Y160" s="2">
        <v>5.21</v>
      </c>
      <c r="Z160" s="2">
        <v>19.3</v>
      </c>
      <c r="AA160" s="2">
        <v>4.07</v>
      </c>
      <c r="AB160" s="2">
        <v>9.7000000000000003E-2</v>
      </c>
      <c r="AC160" s="2">
        <v>3.21</v>
      </c>
      <c r="AD160" s="2">
        <v>0.59</v>
      </c>
      <c r="AE160" s="2">
        <v>3.97</v>
      </c>
      <c r="AF160" s="2">
        <v>0.87</v>
      </c>
      <c r="AG160" s="2">
        <v>2.4300000000000002</v>
      </c>
      <c r="AH160" s="2">
        <v>0.29299999999999998</v>
      </c>
      <c r="AI160" s="2">
        <v>2.48</v>
      </c>
      <c r="AJ160" s="2">
        <v>0.35</v>
      </c>
      <c r="AK160" s="2">
        <v>3.97</v>
      </c>
      <c r="AL160" s="2">
        <v>1.8</v>
      </c>
      <c r="AM160" s="2">
        <v>27.6</v>
      </c>
      <c r="AN160" s="2">
        <v>18.5</v>
      </c>
      <c r="AO160" s="2">
        <v>6.41</v>
      </c>
    </row>
    <row r="161" spans="1:41">
      <c r="A161" s="2">
        <v>35.9</v>
      </c>
      <c r="B161" s="1" t="s">
        <v>173</v>
      </c>
      <c r="C161" s="3">
        <v>2520000</v>
      </c>
      <c r="D161" s="2">
        <v>230000</v>
      </c>
      <c r="E161" s="2">
        <v>27940</v>
      </c>
      <c r="F161" s="2">
        <f t="shared" si="59"/>
        <v>3.7660062002965358</v>
      </c>
      <c r="G161" s="2">
        <v>3570</v>
      </c>
      <c r="H161" s="2">
        <f t="shared" si="60"/>
        <v>0.63715866500089235</v>
      </c>
      <c r="I161" s="2">
        <v>3590</v>
      </c>
      <c r="J161" s="2">
        <f t="shared" si="61"/>
        <v>0.6407281813314295</v>
      </c>
      <c r="K161" s="2">
        <v>353</v>
      </c>
      <c r="L161" s="12">
        <f t="shared" si="62"/>
        <v>5.8882402001668048E-2</v>
      </c>
      <c r="M161" s="2">
        <v>17.2</v>
      </c>
      <c r="N161" s="2">
        <v>18.100000000000001</v>
      </c>
      <c r="O161" s="2">
        <v>174.5</v>
      </c>
      <c r="P161" s="2">
        <v>5.41</v>
      </c>
      <c r="Q161" s="2">
        <v>21.7</v>
      </c>
      <c r="R161" s="2">
        <v>87.7</v>
      </c>
      <c r="S161" s="2">
        <v>82.2</v>
      </c>
      <c r="T161" s="2">
        <v>19.88</v>
      </c>
      <c r="U161" s="2">
        <v>5.54</v>
      </c>
      <c r="V161" s="2">
        <v>22.4</v>
      </c>
      <c r="W161" s="2">
        <v>19.399999999999999</v>
      </c>
      <c r="X161" s="2">
        <v>42.7</v>
      </c>
      <c r="Y161" s="2">
        <v>4.95</v>
      </c>
      <c r="Z161" s="2">
        <v>18.7</v>
      </c>
      <c r="AA161" s="2">
        <v>4.76</v>
      </c>
      <c r="AB161" s="2">
        <v>0.11</v>
      </c>
      <c r="AC161" s="2">
        <v>3.1</v>
      </c>
      <c r="AD161" s="2">
        <v>0.73</v>
      </c>
      <c r="AE161" s="2">
        <v>4.3899999999999997</v>
      </c>
      <c r="AF161" s="2">
        <v>0.71</v>
      </c>
      <c r="AG161" s="2">
        <v>2.78</v>
      </c>
      <c r="AH161" s="2">
        <v>0.373</v>
      </c>
      <c r="AI161" s="2">
        <v>2.66</v>
      </c>
      <c r="AJ161" s="2">
        <v>0.39600000000000002</v>
      </c>
      <c r="AK161" s="2">
        <v>4.37</v>
      </c>
      <c r="AL161" s="2">
        <v>1.63</v>
      </c>
      <c r="AM161" s="2">
        <v>27.9</v>
      </c>
      <c r="AN161" s="2">
        <v>17.8</v>
      </c>
      <c r="AO161" s="2">
        <v>6.07</v>
      </c>
    </row>
    <row r="162" spans="1:41">
      <c r="A162" s="2">
        <v>35.9</v>
      </c>
      <c r="B162" s="1" t="s">
        <v>174</v>
      </c>
      <c r="C162" s="3">
        <v>2780000</v>
      </c>
      <c r="D162" s="2">
        <v>180000</v>
      </c>
      <c r="E162" s="2">
        <v>29610</v>
      </c>
      <c r="F162" s="2">
        <f t="shared" si="59"/>
        <v>3.9911039223615044</v>
      </c>
      <c r="G162" s="2">
        <v>3600</v>
      </c>
      <c r="H162" s="2">
        <f t="shared" si="60"/>
        <v>0.64251293949669819</v>
      </c>
      <c r="I162" s="2">
        <v>3560</v>
      </c>
      <c r="J162" s="2">
        <f t="shared" si="61"/>
        <v>0.63537390683562367</v>
      </c>
      <c r="K162" s="2">
        <v>365</v>
      </c>
      <c r="L162" s="12">
        <f t="shared" si="62"/>
        <v>6.0884070058381985E-2</v>
      </c>
      <c r="M162" s="2">
        <v>16.84</v>
      </c>
      <c r="N162" s="2">
        <v>17.100000000000001</v>
      </c>
      <c r="O162" s="2">
        <v>178.6</v>
      </c>
      <c r="P162" s="2">
        <v>5.93</v>
      </c>
      <c r="Q162" s="2">
        <v>22.6</v>
      </c>
      <c r="R162" s="2">
        <v>92.4</v>
      </c>
      <c r="S162" s="2">
        <v>89.9</v>
      </c>
      <c r="T162" s="2">
        <v>20.399999999999999</v>
      </c>
      <c r="U162" s="2">
        <v>5.29</v>
      </c>
      <c r="V162" s="2">
        <v>20.399999999999999</v>
      </c>
      <c r="W162" s="2">
        <v>19.14</v>
      </c>
      <c r="X162" s="2">
        <v>41.9</v>
      </c>
      <c r="Y162" s="2">
        <v>5.17</v>
      </c>
      <c r="Z162" s="2">
        <v>19.3</v>
      </c>
      <c r="AA162" s="2">
        <v>3.56</v>
      </c>
      <c r="AB162" s="2">
        <v>0.125</v>
      </c>
      <c r="AC162" s="2">
        <v>4.0999999999999996</v>
      </c>
      <c r="AD162" s="2">
        <v>0.6</v>
      </c>
      <c r="AE162" s="2">
        <v>3.93</v>
      </c>
      <c r="AF162" s="2">
        <v>0.79</v>
      </c>
      <c r="AG162" s="2">
        <v>2.2599999999999998</v>
      </c>
      <c r="AH162" s="2">
        <v>0.33700000000000002</v>
      </c>
      <c r="AI162" s="2">
        <v>3.04</v>
      </c>
      <c r="AJ162" s="2">
        <v>0.47599999999999998</v>
      </c>
      <c r="AK162" s="2">
        <v>3.94</v>
      </c>
      <c r="AL162" s="2">
        <v>1.62</v>
      </c>
      <c r="AM162" s="2">
        <v>26.3</v>
      </c>
      <c r="AN162" s="2">
        <v>19</v>
      </c>
      <c r="AO162" s="2">
        <v>5.99</v>
      </c>
    </row>
    <row r="163" spans="1:41">
      <c r="A163" s="2">
        <v>35.9</v>
      </c>
      <c r="B163" s="1" t="s">
        <v>175</v>
      </c>
      <c r="C163" s="3">
        <v>2830000</v>
      </c>
      <c r="D163" s="2">
        <v>230000</v>
      </c>
      <c r="E163" s="2">
        <v>30600</v>
      </c>
      <c r="F163" s="2">
        <f t="shared" ref="F163:F212" si="65">(E163/0.7419)/10000</f>
        <v>4.12454508693894</v>
      </c>
      <c r="G163" s="2">
        <v>3770</v>
      </c>
      <c r="H163" s="2">
        <f t="shared" ref="H163:H212" si="66">(G163/0.5603)/10000</f>
        <v>0.6728538283062645</v>
      </c>
      <c r="I163" s="2">
        <v>3410</v>
      </c>
      <c r="J163" s="2">
        <f t="shared" ref="J163:J212" si="67">(I163/0.5603)/10000</f>
        <v>0.60860253435659473</v>
      </c>
      <c r="K163" s="2">
        <v>348</v>
      </c>
      <c r="L163" s="12">
        <f t="shared" ref="L163:L212" si="68">(K163/0.5995)/10000</f>
        <v>5.8048373644703916E-2</v>
      </c>
      <c r="M163" s="2">
        <v>16.5</v>
      </c>
      <c r="N163" s="2">
        <v>17.5</v>
      </c>
      <c r="O163" s="2">
        <v>178.4</v>
      </c>
      <c r="P163" s="2">
        <v>5.05</v>
      </c>
      <c r="Q163" s="2">
        <v>22.29</v>
      </c>
      <c r="R163" s="2">
        <v>94.9</v>
      </c>
      <c r="S163" s="2">
        <v>93.4</v>
      </c>
      <c r="T163" s="2">
        <v>20.399999999999999</v>
      </c>
      <c r="U163" s="2">
        <v>5.32</v>
      </c>
      <c r="V163" s="2">
        <v>20.2</v>
      </c>
      <c r="W163" s="2">
        <v>20.100000000000001</v>
      </c>
      <c r="X163" s="2">
        <v>43.3</v>
      </c>
      <c r="Y163" s="2">
        <v>4.8899999999999997</v>
      </c>
      <c r="Z163" s="2">
        <v>18.8</v>
      </c>
      <c r="AA163" s="2">
        <v>3.92</v>
      </c>
      <c r="AB163" s="2">
        <v>7.2999999999999995E-2</v>
      </c>
      <c r="AC163" s="2">
        <v>3.79</v>
      </c>
      <c r="AD163" s="2">
        <v>0.56000000000000005</v>
      </c>
      <c r="AE163" s="2">
        <v>3.43</v>
      </c>
      <c r="AF163" s="2">
        <v>0.79</v>
      </c>
      <c r="AG163" s="2">
        <v>2.13</v>
      </c>
      <c r="AH163" s="2">
        <v>0.4</v>
      </c>
      <c r="AI163" s="2">
        <v>2.3199999999999998</v>
      </c>
      <c r="AJ163" s="2">
        <v>0.35499999999999998</v>
      </c>
      <c r="AK163" s="2">
        <v>3.85</v>
      </c>
      <c r="AL163" s="2">
        <v>1.64</v>
      </c>
      <c r="AM163" s="2">
        <v>26</v>
      </c>
      <c r="AN163" s="2">
        <v>19</v>
      </c>
      <c r="AO163" s="2">
        <v>6.69</v>
      </c>
    </row>
    <row r="164" spans="1:41">
      <c r="A164" s="2">
        <v>35.9</v>
      </c>
      <c r="B164" s="1" t="s">
        <v>176</v>
      </c>
      <c r="C164" s="3">
        <v>2620000</v>
      </c>
      <c r="D164" s="2">
        <v>160000</v>
      </c>
      <c r="E164" s="2">
        <v>30240</v>
      </c>
      <c r="F164" s="2">
        <f t="shared" si="65"/>
        <v>4.0760210270926001</v>
      </c>
      <c r="G164" s="2">
        <v>3950</v>
      </c>
      <c r="H164" s="2">
        <f t="shared" si="66"/>
        <v>0.70497947528109939</v>
      </c>
      <c r="I164" s="2">
        <v>3590</v>
      </c>
      <c r="J164" s="2">
        <f t="shared" si="67"/>
        <v>0.6407281813314295</v>
      </c>
      <c r="K164" s="2">
        <v>359</v>
      </c>
      <c r="L164" s="12">
        <f t="shared" si="68"/>
        <v>5.9883236030025024E-2</v>
      </c>
      <c r="M164" s="2">
        <v>17.09</v>
      </c>
      <c r="N164" s="2">
        <v>16.7</v>
      </c>
      <c r="O164" s="2">
        <v>175.1</v>
      </c>
      <c r="P164" s="2">
        <v>5.64</v>
      </c>
      <c r="Q164" s="2">
        <v>23.1</v>
      </c>
      <c r="R164" s="2">
        <v>92</v>
      </c>
      <c r="S164" s="2">
        <v>87.5</v>
      </c>
      <c r="T164" s="2">
        <v>19.8</v>
      </c>
      <c r="U164" s="2">
        <v>5.84</v>
      </c>
      <c r="V164" s="2">
        <v>19.600000000000001</v>
      </c>
      <c r="W164" s="2">
        <v>19.79</v>
      </c>
      <c r="X164" s="2">
        <v>43.6</v>
      </c>
      <c r="Y164" s="2">
        <v>4.99</v>
      </c>
      <c r="Z164" s="2">
        <v>19.7</v>
      </c>
      <c r="AA164" s="2">
        <v>4</v>
      </c>
      <c r="AB164" s="2">
        <v>7.1999999999999995E-2</v>
      </c>
      <c r="AC164" s="2">
        <v>3.7</v>
      </c>
      <c r="AD164" s="2">
        <v>0.71</v>
      </c>
      <c r="AE164" s="2">
        <v>3.99</v>
      </c>
      <c r="AF164" s="2">
        <v>0.88</v>
      </c>
      <c r="AG164" s="2">
        <v>2.63</v>
      </c>
      <c r="AH164" s="2">
        <v>0.42299999999999999</v>
      </c>
      <c r="AI164" s="2">
        <v>2.46</v>
      </c>
      <c r="AJ164" s="2">
        <v>0.32600000000000001</v>
      </c>
      <c r="AK164" s="2">
        <v>3.86</v>
      </c>
      <c r="AL164" s="2">
        <v>1.67</v>
      </c>
      <c r="AM164" s="2">
        <v>27.5</v>
      </c>
      <c r="AN164" s="2">
        <v>19</v>
      </c>
      <c r="AO164" s="2">
        <v>6.39</v>
      </c>
    </row>
    <row r="165" spans="1:41">
      <c r="B165" s="13" t="s">
        <v>60</v>
      </c>
      <c r="C165" s="14">
        <f>AVERAGE(C140:C164)</f>
        <v>2723600</v>
      </c>
      <c r="D165" s="14">
        <f t="shared" ref="D165:AO165" si="69">AVERAGE(D140:D164)</f>
        <v>169200</v>
      </c>
      <c r="E165" s="14">
        <f t="shared" si="69"/>
        <v>29498.799999999999</v>
      </c>
      <c r="F165" s="14">
        <f t="shared" si="69"/>
        <v>3.9761153794311888</v>
      </c>
      <c r="G165" s="14">
        <f t="shared" si="69"/>
        <v>3622</v>
      </c>
      <c r="H165" s="14">
        <f t="shared" si="69"/>
        <v>0.64643940746028905</v>
      </c>
      <c r="I165" s="14">
        <f t="shared" si="69"/>
        <v>3569.8</v>
      </c>
      <c r="J165" s="14">
        <f t="shared" si="69"/>
        <v>0.63712296983758687</v>
      </c>
      <c r="K165" s="14">
        <f t="shared" si="69"/>
        <v>353.32</v>
      </c>
      <c r="L165" s="14">
        <f t="shared" si="69"/>
        <v>5.893577981651376E-2</v>
      </c>
      <c r="M165" s="14">
        <f t="shared" si="69"/>
        <v>16.661999999999992</v>
      </c>
      <c r="N165" s="14">
        <f t="shared" si="69"/>
        <v>16.960799999999999</v>
      </c>
      <c r="O165" s="14">
        <f t="shared" si="69"/>
        <v>179.16400000000002</v>
      </c>
      <c r="P165" s="14">
        <f t="shared" si="69"/>
        <v>5.2255999999999991</v>
      </c>
      <c r="Q165" s="14">
        <f t="shared" si="69"/>
        <v>22.4008</v>
      </c>
      <c r="R165" s="14">
        <f t="shared" si="69"/>
        <v>91.415999999999997</v>
      </c>
      <c r="S165" s="14">
        <f t="shared" si="69"/>
        <v>91.300000000000011</v>
      </c>
      <c r="T165" s="14">
        <f t="shared" si="69"/>
        <v>20.474399999999996</v>
      </c>
      <c r="U165" s="14">
        <f t="shared" si="69"/>
        <v>5.4611999999999998</v>
      </c>
      <c r="V165" s="14">
        <f t="shared" si="69"/>
        <v>19.993600000000001</v>
      </c>
      <c r="W165" s="14">
        <f t="shared" si="69"/>
        <v>19.850800000000003</v>
      </c>
      <c r="X165" s="14">
        <f t="shared" si="69"/>
        <v>42.68</v>
      </c>
      <c r="Y165" s="14">
        <f t="shared" si="69"/>
        <v>5.0587999999999997</v>
      </c>
      <c r="Z165" s="14">
        <f t="shared" si="69"/>
        <v>18.479200000000002</v>
      </c>
      <c r="AA165" s="14">
        <f t="shared" si="69"/>
        <v>4.17</v>
      </c>
      <c r="AB165" s="14">
        <f t="shared" si="69"/>
        <v>0.15412000000000001</v>
      </c>
      <c r="AC165" s="14">
        <f t="shared" si="69"/>
        <v>3.6852</v>
      </c>
      <c r="AD165" s="14">
        <f t="shared" si="69"/>
        <v>0.65720000000000001</v>
      </c>
      <c r="AE165" s="14">
        <f t="shared" si="69"/>
        <v>3.8964000000000003</v>
      </c>
      <c r="AF165" s="14">
        <f t="shared" si="69"/>
        <v>0.79252</v>
      </c>
      <c r="AG165" s="14">
        <f t="shared" si="69"/>
        <v>2.4388000000000001</v>
      </c>
      <c r="AH165" s="14">
        <f t="shared" si="69"/>
        <v>0.36939999999999995</v>
      </c>
      <c r="AI165" s="14">
        <f t="shared" si="69"/>
        <v>2.5851999999999991</v>
      </c>
      <c r="AJ165" s="14">
        <f t="shared" si="69"/>
        <v>0.37647999999999998</v>
      </c>
      <c r="AK165" s="14">
        <f t="shared" si="69"/>
        <v>4.1484000000000005</v>
      </c>
      <c r="AL165" s="14">
        <f t="shared" si="69"/>
        <v>1.6863999999999999</v>
      </c>
      <c r="AM165" s="14">
        <f t="shared" si="69"/>
        <v>27.254000000000001</v>
      </c>
      <c r="AN165" s="14">
        <f t="shared" si="69"/>
        <v>18.781999999999996</v>
      </c>
      <c r="AO165" s="14">
        <f t="shared" si="69"/>
        <v>6.2471999999999994</v>
      </c>
    </row>
    <row r="166" spans="1:41">
      <c r="B166" s="13" t="s">
        <v>61</v>
      </c>
      <c r="C166" s="14">
        <f>STDEV(C140:C164)</f>
        <v>109006.11603636437</v>
      </c>
      <c r="D166" s="14">
        <f t="shared" ref="D166:AO166" si="70">STDEV(D140:D164)</f>
        <v>41424.63035441596</v>
      </c>
      <c r="E166" s="14">
        <f t="shared" si="70"/>
        <v>727.72659701291661</v>
      </c>
      <c r="F166" s="14">
        <f t="shared" si="70"/>
        <v>9.8089580403412369E-2</v>
      </c>
      <c r="G166" s="14">
        <f t="shared" si="70"/>
        <v>248.84734276258607</v>
      </c>
      <c r="H166" s="14">
        <f t="shared" si="70"/>
        <v>4.4413232690092112E-2</v>
      </c>
      <c r="I166" s="14">
        <f t="shared" si="70"/>
        <v>122.3778302362537</v>
      </c>
      <c r="J166" s="14">
        <f t="shared" si="70"/>
        <v>2.184148317620092E-2</v>
      </c>
      <c r="K166" s="14">
        <f t="shared" si="70"/>
        <v>17.667578592816088</v>
      </c>
      <c r="L166" s="14">
        <f t="shared" si="70"/>
        <v>2.9470523090602326E-3</v>
      </c>
      <c r="M166" s="14">
        <f t="shared" si="70"/>
        <v>0.62319071452218089</v>
      </c>
      <c r="N166" s="14">
        <f t="shared" si="70"/>
        <v>0.62295612472575723</v>
      </c>
      <c r="O166" s="14">
        <f t="shared" si="70"/>
        <v>4.3936393418971775</v>
      </c>
      <c r="P166" s="14">
        <f t="shared" si="70"/>
        <v>0.57019061140405813</v>
      </c>
      <c r="Q166" s="14">
        <f t="shared" si="70"/>
        <v>0.60495812527259563</v>
      </c>
      <c r="R166" s="14">
        <f t="shared" si="70"/>
        <v>2.0128089824918813</v>
      </c>
      <c r="S166" s="14">
        <f t="shared" si="70"/>
        <v>3.096368841078208</v>
      </c>
      <c r="T166" s="14">
        <f t="shared" si="70"/>
        <v>0.45919385884395275</v>
      </c>
      <c r="U166" s="14">
        <f t="shared" si="70"/>
        <v>0.25010531115245566</v>
      </c>
      <c r="V166" s="14">
        <f t="shared" si="70"/>
        <v>3.0531443900783222</v>
      </c>
      <c r="W166" s="14">
        <f t="shared" si="70"/>
        <v>1.0906111436560086</v>
      </c>
      <c r="X166" s="14">
        <f t="shared" si="70"/>
        <v>1.943150363027353</v>
      </c>
      <c r="Y166" s="14">
        <f t="shared" si="70"/>
        <v>0.24546418611819257</v>
      </c>
      <c r="Z166" s="14">
        <f t="shared" si="70"/>
        <v>0.94374219643572888</v>
      </c>
      <c r="AA166" s="14">
        <f t="shared" si="70"/>
        <v>0.4482837642981673</v>
      </c>
      <c r="AB166" s="14">
        <f t="shared" si="70"/>
        <v>5.3541510375906765E-2</v>
      </c>
      <c r="AC166" s="14">
        <f t="shared" si="70"/>
        <v>0.49995099759877232</v>
      </c>
      <c r="AD166" s="14">
        <f t="shared" si="70"/>
        <v>7.1909665553386418E-2</v>
      </c>
      <c r="AE166" s="14">
        <f t="shared" si="70"/>
        <v>0.26645637541631462</v>
      </c>
      <c r="AF166" s="14">
        <f t="shared" si="70"/>
        <v>7.4623008069450922E-2</v>
      </c>
      <c r="AG166" s="14">
        <f t="shared" si="70"/>
        <v>0.19110032269290742</v>
      </c>
      <c r="AH166" s="14">
        <f t="shared" si="70"/>
        <v>4.2937939711480175E-2</v>
      </c>
      <c r="AI166" s="14">
        <f t="shared" si="70"/>
        <v>0.30372849718128941</v>
      </c>
      <c r="AJ166" s="14">
        <f t="shared" si="70"/>
        <v>4.013635093860253E-2</v>
      </c>
      <c r="AK166" s="14">
        <f t="shared" si="70"/>
        <v>0.22793785702832842</v>
      </c>
      <c r="AL166" s="14">
        <f t="shared" si="70"/>
        <v>8.7648920890866261E-2</v>
      </c>
      <c r="AM166" s="14">
        <f t="shared" si="70"/>
        <v>0.87748694197311783</v>
      </c>
      <c r="AN166" s="14">
        <f t="shared" si="70"/>
        <v>0.5705406792391462</v>
      </c>
      <c r="AO166" s="14">
        <f t="shared" si="70"/>
        <v>0.23256755291026013</v>
      </c>
    </row>
    <row r="167" spans="1:41">
      <c r="C167" s="3"/>
      <c r="L167" s="12"/>
    </row>
    <row r="168" spans="1:41">
      <c r="C168" s="3"/>
      <c r="L168" s="12"/>
    </row>
    <row r="169" spans="1:41">
      <c r="A169" s="2">
        <v>35.799999999999997</v>
      </c>
      <c r="B169" s="1" t="s">
        <v>177</v>
      </c>
      <c r="C169" s="3">
        <v>2890000</v>
      </c>
      <c r="D169" s="2">
        <v>140000</v>
      </c>
      <c r="E169" s="2">
        <v>28680</v>
      </c>
      <c r="F169" s="2">
        <f t="shared" si="65"/>
        <v>3.8657501010917912</v>
      </c>
      <c r="G169" s="2">
        <v>3840</v>
      </c>
      <c r="H169" s="2">
        <f t="shared" si="66"/>
        <v>0.68534713546314474</v>
      </c>
      <c r="I169" s="2">
        <v>3650</v>
      </c>
      <c r="J169" s="2">
        <f t="shared" si="67"/>
        <v>0.65143673032304128</v>
      </c>
      <c r="K169" s="2">
        <v>350</v>
      </c>
      <c r="L169" s="12">
        <f t="shared" si="68"/>
        <v>5.8381984987489567E-2</v>
      </c>
      <c r="M169" s="2">
        <v>15.12</v>
      </c>
      <c r="N169" s="2">
        <v>15.9</v>
      </c>
      <c r="O169" s="2">
        <v>169.9</v>
      </c>
      <c r="P169" s="2">
        <v>5.58</v>
      </c>
      <c r="Q169" s="2">
        <v>22</v>
      </c>
      <c r="R169" s="2">
        <v>91.7</v>
      </c>
      <c r="S169" s="2">
        <v>88</v>
      </c>
      <c r="T169" s="2">
        <v>19.739999999999998</v>
      </c>
      <c r="U169" s="2">
        <v>5.43</v>
      </c>
      <c r="V169" s="2">
        <v>20</v>
      </c>
      <c r="W169" s="2">
        <v>19.54</v>
      </c>
      <c r="X169" s="2">
        <v>43.1</v>
      </c>
      <c r="Y169" s="2">
        <v>4.88</v>
      </c>
      <c r="Z169" s="2">
        <v>17.41</v>
      </c>
      <c r="AA169" s="2">
        <v>4.8</v>
      </c>
      <c r="AB169" s="2">
        <v>0.13600000000000001</v>
      </c>
      <c r="AC169" s="2">
        <v>3.43</v>
      </c>
      <c r="AD169" s="2">
        <v>0.6</v>
      </c>
      <c r="AE169" s="2">
        <v>4.26</v>
      </c>
      <c r="AF169" s="2">
        <v>0.75</v>
      </c>
      <c r="AG169" s="2">
        <v>2.44</v>
      </c>
      <c r="AH169" s="2">
        <v>0.44</v>
      </c>
      <c r="AI169" s="2">
        <v>2.5099999999999998</v>
      </c>
      <c r="AJ169" s="2">
        <v>0.312</v>
      </c>
      <c r="AK169" s="2">
        <v>3.6</v>
      </c>
      <c r="AL169" s="2">
        <v>1.55</v>
      </c>
      <c r="AM169" s="2">
        <v>25.9</v>
      </c>
      <c r="AN169" s="2">
        <v>18.2</v>
      </c>
      <c r="AO169" s="2">
        <v>5.87</v>
      </c>
    </row>
    <row r="170" spans="1:41">
      <c r="A170" s="2">
        <v>35.799999999999997</v>
      </c>
      <c r="B170" s="1" t="s">
        <v>178</v>
      </c>
      <c r="C170" s="3">
        <v>2810000</v>
      </c>
      <c r="D170" s="2">
        <v>160000</v>
      </c>
      <c r="E170" s="2">
        <v>29420</v>
      </c>
      <c r="F170" s="2">
        <f t="shared" si="65"/>
        <v>3.9654940018870466</v>
      </c>
      <c r="G170" s="2">
        <v>3570</v>
      </c>
      <c r="H170" s="2">
        <f t="shared" si="66"/>
        <v>0.63715866500089235</v>
      </c>
      <c r="I170" s="2">
        <v>3630</v>
      </c>
      <c r="J170" s="2">
        <f t="shared" si="67"/>
        <v>0.64786721399250402</v>
      </c>
      <c r="K170" s="2">
        <v>366</v>
      </c>
      <c r="L170" s="12">
        <f t="shared" si="68"/>
        <v>6.1050875729774808E-2</v>
      </c>
      <c r="M170" s="2">
        <v>16.22</v>
      </c>
      <c r="N170" s="2">
        <v>16.32</v>
      </c>
      <c r="O170" s="2">
        <v>178.5</v>
      </c>
      <c r="P170" s="2">
        <v>5.27</v>
      </c>
      <c r="Q170" s="2">
        <v>22.9</v>
      </c>
      <c r="R170" s="2">
        <v>93.3</v>
      </c>
      <c r="S170" s="2">
        <v>94.2</v>
      </c>
      <c r="T170" s="2">
        <v>20.21</v>
      </c>
      <c r="U170" s="2">
        <v>5.38</v>
      </c>
      <c r="V170" s="2">
        <v>19.600000000000001</v>
      </c>
      <c r="W170" s="2">
        <v>21</v>
      </c>
      <c r="X170" s="2">
        <v>44.9</v>
      </c>
      <c r="Y170" s="2">
        <v>5.32</v>
      </c>
      <c r="Z170" s="2">
        <v>19.5</v>
      </c>
      <c r="AA170" s="2">
        <v>4.67</v>
      </c>
      <c r="AB170" s="2">
        <v>0.10199999999999999</v>
      </c>
      <c r="AC170" s="2">
        <v>3.62</v>
      </c>
      <c r="AD170" s="2">
        <v>0.74</v>
      </c>
      <c r="AE170" s="2">
        <v>3.9</v>
      </c>
      <c r="AF170" s="2">
        <v>0.82</v>
      </c>
      <c r="AG170" s="2">
        <v>2.14</v>
      </c>
      <c r="AH170" s="2">
        <v>0.39100000000000001</v>
      </c>
      <c r="AI170" s="2">
        <v>3.02</v>
      </c>
      <c r="AJ170" s="2">
        <v>0.38300000000000001</v>
      </c>
      <c r="AK170" s="2">
        <v>4.1500000000000004</v>
      </c>
      <c r="AL170" s="2">
        <v>1.76</v>
      </c>
      <c r="AM170" s="2">
        <v>25.8</v>
      </c>
      <c r="AN170" s="2">
        <v>18.739999999999998</v>
      </c>
      <c r="AO170" s="2">
        <v>5.96</v>
      </c>
    </row>
    <row r="171" spans="1:41">
      <c r="A171" s="2">
        <v>35.799999999999997</v>
      </c>
      <c r="B171" s="1" t="s">
        <v>179</v>
      </c>
      <c r="C171" s="3">
        <v>2840000</v>
      </c>
      <c r="D171" s="2">
        <v>170000</v>
      </c>
      <c r="E171" s="2">
        <v>29470</v>
      </c>
      <c r="F171" s="2">
        <f t="shared" si="65"/>
        <v>3.972233454643483</v>
      </c>
      <c r="G171" s="2">
        <v>3630</v>
      </c>
      <c r="H171" s="2">
        <f t="shared" si="66"/>
        <v>0.64786721399250402</v>
      </c>
      <c r="I171" s="2">
        <v>3600</v>
      </c>
      <c r="J171" s="2">
        <f t="shared" si="67"/>
        <v>0.64251293949669819</v>
      </c>
      <c r="K171" s="2">
        <v>336</v>
      </c>
      <c r="L171" s="12">
        <f t="shared" si="68"/>
        <v>5.6046705587989992E-2</v>
      </c>
      <c r="M171" s="2">
        <v>16.190000000000001</v>
      </c>
      <c r="N171" s="2">
        <v>17.399999999999999</v>
      </c>
      <c r="O171" s="2">
        <v>176.6</v>
      </c>
      <c r="P171" s="2">
        <v>5.64</v>
      </c>
      <c r="Q171" s="2">
        <v>22.6</v>
      </c>
      <c r="R171" s="2">
        <v>90</v>
      </c>
      <c r="S171" s="2">
        <v>89.6</v>
      </c>
      <c r="T171" s="2">
        <v>18.98</v>
      </c>
      <c r="U171" s="2">
        <v>5.3</v>
      </c>
      <c r="V171" s="2">
        <v>21.3</v>
      </c>
      <c r="W171" s="2">
        <v>20.5</v>
      </c>
      <c r="X171" s="2">
        <v>43.8</v>
      </c>
      <c r="Y171" s="2">
        <v>5.25</v>
      </c>
      <c r="Z171" s="2">
        <v>20.3</v>
      </c>
      <c r="AA171" s="2">
        <v>3.72</v>
      </c>
      <c r="AB171" s="2">
        <v>0.23</v>
      </c>
      <c r="AC171" s="2">
        <v>4.05</v>
      </c>
      <c r="AD171" s="2">
        <v>0.59</v>
      </c>
      <c r="AE171" s="2">
        <v>4.2300000000000004</v>
      </c>
      <c r="AF171" s="2">
        <v>0.85</v>
      </c>
      <c r="AG171" s="2">
        <v>2.46</v>
      </c>
      <c r="AH171" s="2">
        <v>0.36099999999999999</v>
      </c>
      <c r="AI171" s="2">
        <v>2.23</v>
      </c>
      <c r="AJ171" s="2">
        <v>0.40300000000000002</v>
      </c>
      <c r="AK171" s="2">
        <v>3.91</v>
      </c>
      <c r="AL171" s="2">
        <v>1.81</v>
      </c>
      <c r="AM171" s="2">
        <v>27.5</v>
      </c>
      <c r="AN171" s="2">
        <v>18.8</v>
      </c>
      <c r="AO171" s="2">
        <v>6.26</v>
      </c>
    </row>
    <row r="172" spans="1:41">
      <c r="A172" s="2">
        <v>35.799999999999997</v>
      </c>
      <c r="B172" s="1" t="s">
        <v>180</v>
      </c>
      <c r="C172" s="3">
        <v>2700000</v>
      </c>
      <c r="D172" s="2">
        <v>130000</v>
      </c>
      <c r="E172" s="2">
        <v>29420</v>
      </c>
      <c r="F172" s="2">
        <f t="shared" si="65"/>
        <v>3.9654940018870466</v>
      </c>
      <c r="G172" s="2">
        <v>3430</v>
      </c>
      <c r="H172" s="2">
        <f t="shared" si="66"/>
        <v>0.61217205068713187</v>
      </c>
      <c r="I172" s="2">
        <v>3500</v>
      </c>
      <c r="J172" s="2">
        <f t="shared" si="67"/>
        <v>0.62466535784401211</v>
      </c>
      <c r="K172" s="2">
        <v>335</v>
      </c>
      <c r="L172" s="12">
        <f t="shared" si="68"/>
        <v>5.5879899916597163E-2</v>
      </c>
      <c r="M172" s="2">
        <v>16.53</v>
      </c>
      <c r="N172" s="2">
        <v>16.87</v>
      </c>
      <c r="O172" s="2">
        <v>174.5</v>
      </c>
      <c r="P172" s="2">
        <v>5.0999999999999996</v>
      </c>
      <c r="Q172" s="2">
        <v>23.18</v>
      </c>
      <c r="R172" s="2">
        <v>93.8</v>
      </c>
      <c r="S172" s="2">
        <v>92</v>
      </c>
      <c r="T172" s="2">
        <v>19.7</v>
      </c>
      <c r="U172" s="2">
        <v>5.49</v>
      </c>
      <c r="V172" s="2">
        <v>17</v>
      </c>
      <c r="W172" s="2">
        <v>20.8</v>
      </c>
      <c r="X172" s="2">
        <v>44.6</v>
      </c>
      <c r="Y172" s="2">
        <v>5.22</v>
      </c>
      <c r="Z172" s="2">
        <v>19.399999999999999</v>
      </c>
      <c r="AA172" s="2">
        <v>4.5</v>
      </c>
      <c r="AB172" s="2">
        <v>0.19</v>
      </c>
      <c r="AC172" s="2">
        <v>3.7</v>
      </c>
      <c r="AD172" s="2">
        <v>0.59</v>
      </c>
      <c r="AE172" s="2">
        <v>3.79</v>
      </c>
      <c r="AF172" s="2">
        <v>0.81</v>
      </c>
      <c r="AG172" s="2">
        <v>2.6</v>
      </c>
      <c r="AH172" s="2">
        <v>0.39300000000000002</v>
      </c>
      <c r="AI172" s="2">
        <v>2.79</v>
      </c>
      <c r="AJ172" s="2">
        <v>0.39400000000000002</v>
      </c>
      <c r="AK172" s="2">
        <v>4.26</v>
      </c>
      <c r="AL172" s="2">
        <v>1.64</v>
      </c>
      <c r="AM172" s="2">
        <v>25</v>
      </c>
      <c r="AN172" s="2">
        <v>18.8</v>
      </c>
      <c r="AO172" s="2">
        <v>6.52</v>
      </c>
    </row>
    <row r="173" spans="1:41">
      <c r="A173" s="2">
        <v>35.799999999999997</v>
      </c>
      <c r="B173" s="1" t="s">
        <v>181</v>
      </c>
      <c r="C173" s="3">
        <v>2790000</v>
      </c>
      <c r="D173" s="2">
        <v>180000</v>
      </c>
      <c r="E173" s="2">
        <v>29890</v>
      </c>
      <c r="F173" s="2">
        <f t="shared" si="65"/>
        <v>4.0288448577975471</v>
      </c>
      <c r="G173" s="2">
        <v>3650</v>
      </c>
      <c r="H173" s="2">
        <f t="shared" si="66"/>
        <v>0.65143673032304128</v>
      </c>
      <c r="I173" s="2">
        <v>3640</v>
      </c>
      <c r="J173" s="2">
        <f t="shared" si="67"/>
        <v>0.64965197215777259</v>
      </c>
      <c r="K173" s="2">
        <v>347</v>
      </c>
      <c r="L173" s="12">
        <f t="shared" si="68"/>
        <v>5.7881567973311086E-2</v>
      </c>
      <c r="M173" s="2">
        <v>16.059999999999999</v>
      </c>
      <c r="N173" s="2">
        <v>17.68</v>
      </c>
      <c r="O173" s="2">
        <v>179</v>
      </c>
      <c r="P173" s="2">
        <v>5.57</v>
      </c>
      <c r="Q173" s="2">
        <v>23.32</v>
      </c>
      <c r="R173" s="2">
        <v>93.5</v>
      </c>
      <c r="S173" s="2">
        <v>93.1</v>
      </c>
      <c r="T173" s="2">
        <v>19.75</v>
      </c>
      <c r="U173" s="2">
        <v>5.25</v>
      </c>
      <c r="V173" s="2">
        <v>21.6</v>
      </c>
      <c r="W173" s="2">
        <v>20.52</v>
      </c>
      <c r="X173" s="2">
        <v>44.5</v>
      </c>
      <c r="Y173" s="2">
        <v>5.31</v>
      </c>
      <c r="Z173" s="2">
        <v>18.5</v>
      </c>
      <c r="AA173" s="2">
        <v>5.26</v>
      </c>
      <c r="AB173" s="2">
        <v>0.11600000000000001</v>
      </c>
      <c r="AC173" s="2">
        <v>3.98</v>
      </c>
      <c r="AD173" s="2">
        <v>0.51</v>
      </c>
      <c r="AE173" s="2">
        <v>3.93</v>
      </c>
      <c r="AF173" s="2">
        <v>0.77</v>
      </c>
      <c r="AG173" s="2">
        <v>2.37</v>
      </c>
      <c r="AH173" s="2">
        <v>0.30299999999999999</v>
      </c>
      <c r="AI173" s="2">
        <v>2.27</v>
      </c>
      <c r="AJ173" s="2">
        <v>0.35899999999999999</v>
      </c>
      <c r="AK173" s="2">
        <v>3.99</v>
      </c>
      <c r="AL173" s="2">
        <v>1.68</v>
      </c>
      <c r="AM173" s="2">
        <v>27.5</v>
      </c>
      <c r="AN173" s="2">
        <v>18.420000000000002</v>
      </c>
      <c r="AO173" s="2">
        <v>6.31</v>
      </c>
    </row>
    <row r="174" spans="1:41">
      <c r="A174" s="2">
        <v>35.799999999999997</v>
      </c>
      <c r="B174" s="1" t="s">
        <v>182</v>
      </c>
      <c r="C174" s="3">
        <v>2820000</v>
      </c>
      <c r="D174" s="2">
        <v>120000</v>
      </c>
      <c r="E174" s="2">
        <v>29470</v>
      </c>
      <c r="F174" s="2">
        <f t="shared" si="65"/>
        <v>3.972233454643483</v>
      </c>
      <c r="G174" s="2">
        <v>3840</v>
      </c>
      <c r="H174" s="2">
        <f t="shared" si="66"/>
        <v>0.68534713546314474</v>
      </c>
      <c r="I174" s="2">
        <v>3770</v>
      </c>
      <c r="J174" s="2">
        <f t="shared" si="67"/>
        <v>0.6728538283062645</v>
      </c>
      <c r="K174" s="2">
        <v>342</v>
      </c>
      <c r="L174" s="12">
        <f t="shared" si="68"/>
        <v>5.7047539616346954E-2</v>
      </c>
      <c r="M174" s="2">
        <v>17</v>
      </c>
      <c r="N174" s="2">
        <v>16.420000000000002</v>
      </c>
      <c r="O174" s="2">
        <v>181.8</v>
      </c>
      <c r="P174" s="2">
        <v>5.5</v>
      </c>
      <c r="Q174" s="2">
        <v>23</v>
      </c>
      <c r="R174" s="2">
        <v>92.4</v>
      </c>
      <c r="S174" s="2">
        <v>91.3</v>
      </c>
      <c r="T174" s="2">
        <v>20.14</v>
      </c>
      <c r="U174" s="2">
        <v>5.48</v>
      </c>
      <c r="V174" s="2">
        <v>20.2</v>
      </c>
      <c r="W174" s="2">
        <v>21.07</v>
      </c>
      <c r="X174" s="2">
        <v>45.4</v>
      </c>
      <c r="Y174" s="2">
        <v>5.09</v>
      </c>
      <c r="Z174" s="2">
        <v>18.2</v>
      </c>
      <c r="AA174" s="2">
        <v>4.08</v>
      </c>
      <c r="AB174" s="2">
        <v>0.18</v>
      </c>
      <c r="AC174" s="2">
        <v>3.54</v>
      </c>
      <c r="AD174" s="2">
        <v>0.51</v>
      </c>
      <c r="AE174" s="2">
        <v>4.22</v>
      </c>
      <c r="AF174" s="2">
        <v>0.85</v>
      </c>
      <c r="AG174" s="2">
        <v>2.72</v>
      </c>
      <c r="AH174" s="2">
        <v>0.44</v>
      </c>
      <c r="AI174" s="2">
        <v>2.3199999999999998</v>
      </c>
      <c r="AJ174" s="2">
        <v>0.45100000000000001</v>
      </c>
      <c r="AK174" s="2">
        <v>3.91</v>
      </c>
      <c r="AL174" s="2">
        <v>1.57</v>
      </c>
      <c r="AM174" s="2">
        <v>27.8</v>
      </c>
      <c r="AN174" s="2">
        <v>18.399999999999999</v>
      </c>
      <c r="AO174" s="2">
        <v>6.22</v>
      </c>
    </row>
    <row r="175" spans="1:41">
      <c r="A175" s="2">
        <v>35.799999999999997</v>
      </c>
      <c r="B175" s="1" t="s">
        <v>183</v>
      </c>
      <c r="C175" s="3">
        <v>2880000</v>
      </c>
      <c r="D175" s="2">
        <v>180000</v>
      </c>
      <c r="E175" s="2">
        <v>29590</v>
      </c>
      <c r="F175" s="2">
        <f t="shared" si="65"/>
        <v>3.9884081412589292</v>
      </c>
      <c r="G175" s="2">
        <v>3550</v>
      </c>
      <c r="H175" s="2">
        <f t="shared" si="66"/>
        <v>0.63358914867035521</v>
      </c>
      <c r="I175" s="2">
        <v>3820</v>
      </c>
      <c r="J175" s="2">
        <f t="shared" si="67"/>
        <v>0.68177761913260748</v>
      </c>
      <c r="K175" s="2">
        <v>354</v>
      </c>
      <c r="L175" s="12">
        <f t="shared" si="68"/>
        <v>5.9049207673060877E-2</v>
      </c>
      <c r="M175" s="2">
        <v>16.2</v>
      </c>
      <c r="N175" s="2">
        <v>17.2</v>
      </c>
      <c r="O175" s="2">
        <v>179.5</v>
      </c>
      <c r="P175" s="2">
        <v>5.83</v>
      </c>
      <c r="Q175" s="2">
        <v>23.5</v>
      </c>
      <c r="R175" s="2">
        <v>94.1</v>
      </c>
      <c r="S175" s="2">
        <v>93.2</v>
      </c>
      <c r="T175" s="2">
        <v>19.71</v>
      </c>
      <c r="U175" s="2">
        <v>5.41</v>
      </c>
      <c r="V175" s="2">
        <v>20.6</v>
      </c>
      <c r="W175" s="2">
        <v>20.9</v>
      </c>
      <c r="X175" s="2">
        <v>44.6</v>
      </c>
      <c r="Y175" s="2">
        <v>5.28</v>
      </c>
      <c r="Z175" s="2">
        <v>19.600000000000001</v>
      </c>
      <c r="AA175" s="2">
        <v>3.86</v>
      </c>
      <c r="AB175" s="2">
        <v>0.17</v>
      </c>
      <c r="AC175" s="2">
        <v>3.8</v>
      </c>
      <c r="AD175" s="2">
        <v>0.69</v>
      </c>
      <c r="AE175" s="2">
        <v>3.38</v>
      </c>
      <c r="AF175" s="2">
        <v>0.92</v>
      </c>
      <c r="AG175" s="2">
        <v>2.74</v>
      </c>
      <c r="AH175" s="2">
        <v>0.34</v>
      </c>
      <c r="AI175" s="2">
        <v>2.69</v>
      </c>
      <c r="AJ175" s="2">
        <v>0.46400000000000002</v>
      </c>
      <c r="AK175" s="2">
        <v>4.2300000000000004</v>
      </c>
      <c r="AL175" s="2">
        <v>1.62</v>
      </c>
      <c r="AM175" s="2">
        <v>27</v>
      </c>
      <c r="AN175" s="2">
        <v>18.899999999999999</v>
      </c>
      <c r="AO175" s="2">
        <v>5.92</v>
      </c>
    </row>
    <row r="176" spans="1:41">
      <c r="A176" s="2">
        <v>35.799999999999997</v>
      </c>
      <c r="B176" s="1" t="s">
        <v>184</v>
      </c>
      <c r="C176" s="3">
        <v>2680000</v>
      </c>
      <c r="D176" s="2">
        <v>160000</v>
      </c>
      <c r="E176" s="2">
        <v>30060</v>
      </c>
      <c r="F176" s="2">
        <f t="shared" si="65"/>
        <v>4.0517589971694292</v>
      </c>
      <c r="G176" s="2">
        <v>3710</v>
      </c>
      <c r="H176" s="2">
        <f t="shared" si="66"/>
        <v>0.66214527931465283</v>
      </c>
      <c r="I176" s="2">
        <v>3850</v>
      </c>
      <c r="J176" s="2">
        <f t="shared" si="67"/>
        <v>0.68713189362841331</v>
      </c>
      <c r="K176" s="2">
        <v>354</v>
      </c>
      <c r="L176" s="12">
        <f t="shared" si="68"/>
        <v>5.9049207673060877E-2</v>
      </c>
      <c r="M176" s="2">
        <v>17.09</v>
      </c>
      <c r="N176" s="2">
        <v>17.3</v>
      </c>
      <c r="O176" s="2">
        <v>182.5</v>
      </c>
      <c r="P176" s="2">
        <v>5.69</v>
      </c>
      <c r="Q176" s="2">
        <v>23.9</v>
      </c>
      <c r="R176" s="2">
        <v>95.3</v>
      </c>
      <c r="S176" s="2">
        <v>92.1</v>
      </c>
      <c r="T176" s="2">
        <v>20.9</v>
      </c>
      <c r="U176" s="2">
        <v>5.53</v>
      </c>
      <c r="V176" s="2">
        <v>22.8</v>
      </c>
      <c r="W176" s="2">
        <v>21.66</v>
      </c>
      <c r="X176" s="2">
        <v>46.7</v>
      </c>
      <c r="Y176" s="2">
        <v>5.41</v>
      </c>
      <c r="Z176" s="2">
        <v>20.5</v>
      </c>
      <c r="AA176" s="2">
        <v>4.1500000000000004</v>
      </c>
      <c r="AB176" s="2">
        <v>0.18</v>
      </c>
      <c r="AC176" s="2">
        <v>3.3</v>
      </c>
      <c r="AD176" s="2">
        <v>0.75</v>
      </c>
      <c r="AE176" s="2">
        <v>3.92</v>
      </c>
      <c r="AF176" s="2">
        <v>0.75</v>
      </c>
      <c r="AG176" s="2">
        <v>2.2200000000000002</v>
      </c>
      <c r="AH176" s="2">
        <v>0.37</v>
      </c>
      <c r="AI176" s="2">
        <v>2.74</v>
      </c>
      <c r="AJ176" s="2">
        <v>0.39900000000000002</v>
      </c>
      <c r="AK176" s="2">
        <v>4.12</v>
      </c>
      <c r="AL176" s="2">
        <v>1.83</v>
      </c>
      <c r="AM176" s="2">
        <v>28.3</v>
      </c>
      <c r="AN176" s="2">
        <v>19.2</v>
      </c>
      <c r="AO176" s="2">
        <v>6.39</v>
      </c>
    </row>
    <row r="177" spans="1:41">
      <c r="A177" s="2">
        <v>35.799999999999997</v>
      </c>
      <c r="B177" s="1" t="s">
        <v>185</v>
      </c>
      <c r="C177" s="3">
        <v>2660000</v>
      </c>
      <c r="D177" s="2">
        <v>120000</v>
      </c>
      <c r="E177" s="2">
        <v>30320</v>
      </c>
      <c r="F177" s="2">
        <f t="shared" si="65"/>
        <v>4.0868041515028981</v>
      </c>
      <c r="G177" s="2">
        <v>3640</v>
      </c>
      <c r="H177" s="2">
        <f t="shared" si="66"/>
        <v>0.64965197215777259</v>
      </c>
      <c r="I177" s="2">
        <v>3700</v>
      </c>
      <c r="J177" s="2">
        <f t="shared" si="67"/>
        <v>0.66036052114938415</v>
      </c>
      <c r="K177" s="2">
        <v>363</v>
      </c>
      <c r="L177" s="12">
        <f t="shared" si="68"/>
        <v>6.0550458715596327E-2</v>
      </c>
      <c r="M177" s="2">
        <v>17.2</v>
      </c>
      <c r="N177" s="2">
        <v>17.8</v>
      </c>
      <c r="O177" s="2">
        <v>181.3</v>
      </c>
      <c r="P177" s="2">
        <v>5.4</v>
      </c>
      <c r="Q177" s="2">
        <v>22.9</v>
      </c>
      <c r="R177" s="2">
        <v>94.2</v>
      </c>
      <c r="S177" s="2">
        <v>93.4</v>
      </c>
      <c r="T177" s="2">
        <v>21.4</v>
      </c>
      <c r="U177" s="2">
        <v>5.61</v>
      </c>
      <c r="V177" s="2">
        <v>21.1</v>
      </c>
      <c r="W177" s="2">
        <v>21.3</v>
      </c>
      <c r="X177" s="2">
        <v>44.9</v>
      </c>
      <c r="Y177" s="2">
        <v>4.9400000000000004</v>
      </c>
      <c r="Z177" s="2">
        <v>18</v>
      </c>
      <c r="AA177" s="2">
        <v>4.22</v>
      </c>
      <c r="AB177" s="2">
        <v>0.13800000000000001</v>
      </c>
      <c r="AC177" s="2">
        <v>4.03</v>
      </c>
      <c r="AD177" s="2">
        <v>0.66</v>
      </c>
      <c r="AE177" s="2">
        <v>3.66</v>
      </c>
      <c r="AF177" s="2">
        <v>0.73</v>
      </c>
      <c r="AG177" s="2">
        <v>2.76</v>
      </c>
      <c r="AH177" s="2">
        <v>0.28999999999999998</v>
      </c>
      <c r="AI177" s="2">
        <v>2.39</v>
      </c>
      <c r="AJ177" s="2">
        <v>0.38100000000000001</v>
      </c>
      <c r="AK177" s="2">
        <v>4.0599999999999996</v>
      </c>
      <c r="AL177" s="2">
        <v>1.58</v>
      </c>
      <c r="AM177" s="2">
        <v>26.6</v>
      </c>
      <c r="AN177" s="2">
        <v>18.5</v>
      </c>
      <c r="AO177" s="2">
        <v>5.97</v>
      </c>
    </row>
    <row r="178" spans="1:41">
      <c r="A178" s="2">
        <v>35.799999999999997</v>
      </c>
      <c r="B178" s="1" t="s">
        <v>186</v>
      </c>
      <c r="C178" s="3">
        <v>2770000</v>
      </c>
      <c r="D178" s="2">
        <v>140000</v>
      </c>
      <c r="E178" s="2">
        <v>28650</v>
      </c>
      <c r="F178" s="2">
        <f t="shared" si="65"/>
        <v>3.86170642943793</v>
      </c>
      <c r="G178" s="2">
        <v>4010</v>
      </c>
      <c r="H178" s="2">
        <f t="shared" si="66"/>
        <v>0.71568802427271105</v>
      </c>
      <c r="I178" s="2">
        <v>3850</v>
      </c>
      <c r="J178" s="2">
        <f t="shared" si="67"/>
        <v>0.68713189362841331</v>
      </c>
      <c r="K178" s="2">
        <v>373</v>
      </c>
      <c r="L178" s="12">
        <f t="shared" si="68"/>
        <v>6.2218515429524598E-2</v>
      </c>
      <c r="M178" s="2">
        <v>16.899999999999999</v>
      </c>
      <c r="N178" s="2">
        <v>17.600000000000001</v>
      </c>
      <c r="O178" s="2">
        <v>177.9</v>
      </c>
      <c r="P178" s="2">
        <v>4.3499999999999996</v>
      </c>
      <c r="Q178" s="2">
        <v>23.4</v>
      </c>
      <c r="R178" s="2">
        <v>93.5</v>
      </c>
      <c r="S178" s="2">
        <v>88.1</v>
      </c>
      <c r="T178" s="2">
        <v>21.11</v>
      </c>
      <c r="U178" s="2">
        <v>5.62</v>
      </c>
      <c r="V178" s="2">
        <v>17.899999999999999</v>
      </c>
      <c r="W178" s="2">
        <v>21.6</v>
      </c>
      <c r="X178" s="2">
        <v>46.1</v>
      </c>
      <c r="Y178" s="2">
        <v>5.35</v>
      </c>
      <c r="Z178" s="2">
        <v>19.899999999999999</v>
      </c>
      <c r="AA178" s="2">
        <v>5.25</v>
      </c>
      <c r="AB178" s="2">
        <v>0.19</v>
      </c>
      <c r="AC178" s="2">
        <v>4.3</v>
      </c>
      <c r="AD178" s="2">
        <v>0.61</v>
      </c>
      <c r="AE178" s="2">
        <v>4.01</v>
      </c>
      <c r="AF178" s="2">
        <v>0.753</v>
      </c>
      <c r="AG178" s="2">
        <v>2.25</v>
      </c>
      <c r="AH178" s="2">
        <v>0.37</v>
      </c>
      <c r="AI178" s="2">
        <v>3.17</v>
      </c>
      <c r="AJ178" s="2">
        <v>0.35399999999999998</v>
      </c>
      <c r="AK178" s="2">
        <v>3.92</v>
      </c>
      <c r="AL178" s="2">
        <v>1.7</v>
      </c>
      <c r="AM178" s="2">
        <v>28.1</v>
      </c>
      <c r="AN178" s="2">
        <v>19</v>
      </c>
      <c r="AO178" s="2">
        <v>6.11</v>
      </c>
    </row>
    <row r="179" spans="1:41">
      <c r="A179" s="2">
        <v>35.799999999999997</v>
      </c>
      <c r="B179" s="1" t="s">
        <v>187</v>
      </c>
      <c r="C179" s="3">
        <v>2570000</v>
      </c>
      <c r="D179" s="2">
        <v>160000</v>
      </c>
      <c r="E179" s="2">
        <v>29560</v>
      </c>
      <c r="F179" s="2">
        <f t="shared" si="65"/>
        <v>3.984364469605068</v>
      </c>
      <c r="G179" s="2">
        <v>3750</v>
      </c>
      <c r="H179" s="2">
        <f t="shared" si="66"/>
        <v>0.66928431197572724</v>
      </c>
      <c r="I179" s="2">
        <v>3590</v>
      </c>
      <c r="J179" s="2">
        <f t="shared" si="67"/>
        <v>0.6407281813314295</v>
      </c>
      <c r="K179" s="2">
        <v>351</v>
      </c>
      <c r="L179" s="12">
        <f t="shared" si="68"/>
        <v>5.8548790658882396E-2</v>
      </c>
      <c r="M179" s="2">
        <v>16.63</v>
      </c>
      <c r="N179" s="2">
        <v>18.440000000000001</v>
      </c>
      <c r="O179" s="2">
        <v>182.2</v>
      </c>
      <c r="P179" s="2">
        <v>5.17</v>
      </c>
      <c r="Q179" s="2">
        <v>22.4</v>
      </c>
      <c r="R179" s="2">
        <v>92.6</v>
      </c>
      <c r="S179" s="2">
        <v>90.4</v>
      </c>
      <c r="T179" s="2">
        <v>21.1</v>
      </c>
      <c r="U179" s="2">
        <v>5.74</v>
      </c>
      <c r="V179" s="2">
        <v>22.3</v>
      </c>
      <c r="W179" s="2">
        <v>21.93</v>
      </c>
      <c r="X179" s="2">
        <v>45</v>
      </c>
      <c r="Y179" s="2">
        <v>5.48</v>
      </c>
      <c r="Z179" s="2">
        <v>20.3</v>
      </c>
      <c r="AA179" s="2">
        <v>4.33</v>
      </c>
      <c r="AB179" s="2">
        <v>0.17</v>
      </c>
      <c r="AC179" s="2">
        <v>3.33</v>
      </c>
      <c r="AD179" s="2">
        <v>0.53</v>
      </c>
      <c r="AE179" s="2">
        <v>3.58</v>
      </c>
      <c r="AF179" s="2">
        <v>0.67300000000000004</v>
      </c>
      <c r="AG179" s="2">
        <v>3.04</v>
      </c>
      <c r="AH179" s="2">
        <v>0.28999999999999998</v>
      </c>
      <c r="AI179" s="2">
        <v>2.3199999999999998</v>
      </c>
      <c r="AJ179" s="2">
        <v>0.439</v>
      </c>
      <c r="AK179" s="2">
        <v>3.85</v>
      </c>
      <c r="AL179" s="2">
        <v>1.85</v>
      </c>
      <c r="AM179" s="2">
        <v>28.6</v>
      </c>
      <c r="AN179" s="2">
        <v>18.5</v>
      </c>
      <c r="AO179" s="2">
        <v>6.01</v>
      </c>
    </row>
    <row r="180" spans="1:41">
      <c r="A180" s="2">
        <v>35.799999999999997</v>
      </c>
      <c r="B180" s="1" t="s">
        <v>188</v>
      </c>
      <c r="C180" s="3">
        <v>2720000</v>
      </c>
      <c r="D180" s="2">
        <v>160000</v>
      </c>
      <c r="E180" s="2">
        <v>29480</v>
      </c>
      <c r="F180" s="2">
        <f t="shared" si="65"/>
        <v>3.9735813451947704</v>
      </c>
      <c r="G180" s="2">
        <v>3700</v>
      </c>
      <c r="H180" s="2">
        <f t="shared" si="66"/>
        <v>0.66036052114938415</v>
      </c>
      <c r="I180" s="2">
        <v>3650</v>
      </c>
      <c r="J180" s="2">
        <f t="shared" si="67"/>
        <v>0.65143673032304128</v>
      </c>
      <c r="K180" s="2">
        <v>359</v>
      </c>
      <c r="L180" s="12">
        <f t="shared" si="68"/>
        <v>5.9883236030025024E-2</v>
      </c>
      <c r="M180" s="2">
        <v>17.059999999999999</v>
      </c>
      <c r="N180" s="2">
        <v>16.899999999999999</v>
      </c>
      <c r="O180" s="2">
        <v>177.1</v>
      </c>
      <c r="P180" s="2">
        <v>5.5</v>
      </c>
      <c r="Q180" s="2">
        <v>22.7</v>
      </c>
      <c r="R180" s="2">
        <v>91.4</v>
      </c>
      <c r="S180" s="2">
        <v>94</v>
      </c>
      <c r="T180" s="2">
        <v>20.399999999999999</v>
      </c>
      <c r="U180" s="2">
        <v>5.42</v>
      </c>
      <c r="V180" s="2">
        <v>21.7</v>
      </c>
      <c r="W180" s="2">
        <v>21</v>
      </c>
      <c r="X180" s="2">
        <v>45.5</v>
      </c>
      <c r="Y180" s="2">
        <v>5.44</v>
      </c>
      <c r="Z180" s="2">
        <v>19.7</v>
      </c>
      <c r="AA180" s="2">
        <v>4.03</v>
      </c>
      <c r="AB180" s="2">
        <v>0.185</v>
      </c>
      <c r="AC180" s="2">
        <v>3.7</v>
      </c>
      <c r="AD180" s="2">
        <v>0.55000000000000004</v>
      </c>
      <c r="AE180" s="2">
        <v>3.93</v>
      </c>
      <c r="AF180" s="2">
        <v>0.74</v>
      </c>
      <c r="AG180" s="2">
        <v>2.31</v>
      </c>
      <c r="AH180" s="2">
        <v>0.317</v>
      </c>
      <c r="AI180" s="2">
        <v>2.4900000000000002</v>
      </c>
      <c r="AJ180" s="2">
        <v>0.311</v>
      </c>
      <c r="AK180" s="2">
        <v>4.5199999999999996</v>
      </c>
      <c r="AL180" s="2">
        <v>1.74</v>
      </c>
      <c r="AM180" s="2">
        <v>26.6</v>
      </c>
      <c r="AN180" s="2">
        <v>18.62</v>
      </c>
      <c r="AO180" s="2">
        <v>6.43</v>
      </c>
    </row>
    <row r="181" spans="1:41">
      <c r="A181" s="2">
        <v>35.799999999999997</v>
      </c>
      <c r="B181" s="1" t="s">
        <v>189</v>
      </c>
      <c r="C181" s="3">
        <v>2710000</v>
      </c>
      <c r="D181" s="2">
        <v>120000</v>
      </c>
      <c r="E181" s="2">
        <v>29440</v>
      </c>
      <c r="F181" s="2">
        <f t="shared" si="65"/>
        <v>3.9681897829896209</v>
      </c>
      <c r="G181" s="2">
        <v>3800</v>
      </c>
      <c r="H181" s="2">
        <f t="shared" si="66"/>
        <v>0.67820810280207033</v>
      </c>
      <c r="I181" s="2">
        <v>3860</v>
      </c>
      <c r="J181" s="2">
        <f t="shared" si="67"/>
        <v>0.68891665179368189</v>
      </c>
      <c r="K181" s="2">
        <v>346</v>
      </c>
      <c r="L181" s="12">
        <f t="shared" si="68"/>
        <v>5.7714762301918264E-2</v>
      </c>
      <c r="M181" s="2">
        <v>16.2</v>
      </c>
      <c r="N181" s="2">
        <v>16.600000000000001</v>
      </c>
      <c r="O181" s="2">
        <v>176.7</v>
      </c>
      <c r="P181" s="2">
        <v>5.01</v>
      </c>
      <c r="Q181" s="2">
        <v>23.5</v>
      </c>
      <c r="R181" s="2">
        <v>94</v>
      </c>
      <c r="S181" s="2">
        <v>93.6</v>
      </c>
      <c r="T181" s="2">
        <v>20.7</v>
      </c>
      <c r="U181" s="2">
        <v>5.59</v>
      </c>
      <c r="V181" s="2">
        <v>19.100000000000001</v>
      </c>
      <c r="W181" s="2">
        <v>21.4</v>
      </c>
      <c r="X181" s="2">
        <v>46.2</v>
      </c>
      <c r="Y181" s="2">
        <v>5.52</v>
      </c>
      <c r="Z181" s="2">
        <v>20.7</v>
      </c>
      <c r="AA181" s="2">
        <v>4.3899999999999997</v>
      </c>
      <c r="AB181" s="2">
        <v>7.0999999999999994E-2</v>
      </c>
      <c r="AC181" s="2">
        <v>3.06</v>
      </c>
      <c r="AD181" s="2">
        <v>0.57999999999999996</v>
      </c>
      <c r="AE181" s="2">
        <v>3.94</v>
      </c>
      <c r="AF181" s="2">
        <v>0.9</v>
      </c>
      <c r="AG181" s="2">
        <v>2.82</v>
      </c>
      <c r="AH181" s="2">
        <v>0.35499999999999998</v>
      </c>
      <c r="AI181" s="2">
        <v>2.87</v>
      </c>
      <c r="AJ181" s="2">
        <v>0.372</v>
      </c>
      <c r="AK181" s="2">
        <v>4.01</v>
      </c>
      <c r="AL181" s="2">
        <v>1.76</v>
      </c>
      <c r="AM181" s="2">
        <v>27</v>
      </c>
      <c r="AN181" s="2">
        <v>19.3</v>
      </c>
      <c r="AO181" s="2">
        <v>6.27</v>
      </c>
    </row>
    <row r="182" spans="1:41">
      <c r="A182" s="2">
        <v>35.799999999999997</v>
      </c>
      <c r="B182" s="1" t="s">
        <v>190</v>
      </c>
      <c r="C182" s="3">
        <v>2850000</v>
      </c>
      <c r="D182" s="2">
        <v>150000</v>
      </c>
      <c r="E182" s="2">
        <v>29220</v>
      </c>
      <c r="F182" s="2">
        <f t="shared" si="65"/>
        <v>3.9385361908613019</v>
      </c>
      <c r="G182" s="2">
        <v>3840</v>
      </c>
      <c r="H182" s="2">
        <f t="shared" si="66"/>
        <v>0.68534713546314474</v>
      </c>
      <c r="I182" s="2">
        <v>3630</v>
      </c>
      <c r="J182" s="2">
        <f t="shared" si="67"/>
        <v>0.64786721399250402</v>
      </c>
      <c r="K182" s="2">
        <v>350</v>
      </c>
      <c r="L182" s="12">
        <f t="shared" si="68"/>
        <v>5.8381984987489567E-2</v>
      </c>
      <c r="M182" s="2">
        <v>16.3</v>
      </c>
      <c r="N182" s="2">
        <v>16.3</v>
      </c>
      <c r="O182" s="2">
        <v>172.8</v>
      </c>
      <c r="P182" s="2">
        <v>5.23</v>
      </c>
      <c r="Q182" s="2">
        <v>22.6</v>
      </c>
      <c r="R182" s="2">
        <v>90.4</v>
      </c>
      <c r="S182" s="2">
        <v>91.2</v>
      </c>
      <c r="T182" s="2">
        <v>19.88</v>
      </c>
      <c r="U182" s="2">
        <v>5.23</v>
      </c>
      <c r="V182" s="2">
        <v>20.6</v>
      </c>
      <c r="W182" s="2">
        <v>19.809999999999999</v>
      </c>
      <c r="X182" s="2">
        <v>43.9</v>
      </c>
      <c r="Y182" s="2">
        <v>4.96</v>
      </c>
      <c r="Z182" s="2">
        <v>17.7</v>
      </c>
      <c r="AA182" s="2">
        <v>4.04</v>
      </c>
      <c r="AB182" s="2">
        <v>9.0999999999999998E-2</v>
      </c>
      <c r="AC182" s="2">
        <v>2.92</v>
      </c>
      <c r="AD182" s="2">
        <v>0.6</v>
      </c>
      <c r="AE182" s="2">
        <v>3.35</v>
      </c>
      <c r="AF182" s="2">
        <v>0.79</v>
      </c>
      <c r="AG182" s="2">
        <v>2.1800000000000002</v>
      </c>
      <c r="AH182" s="2">
        <v>0.34</v>
      </c>
      <c r="AI182" s="2">
        <v>2.59</v>
      </c>
      <c r="AJ182" s="2">
        <v>0.33600000000000002</v>
      </c>
      <c r="AK182" s="2">
        <v>4.07</v>
      </c>
      <c r="AL182" s="2">
        <v>1.83</v>
      </c>
      <c r="AM182" s="2">
        <v>27.2</v>
      </c>
      <c r="AN182" s="2">
        <v>18.73</v>
      </c>
      <c r="AO182" s="2">
        <v>6.21</v>
      </c>
    </row>
    <row r="183" spans="1:41">
      <c r="A183" s="2">
        <v>35.799999999999997</v>
      </c>
      <c r="B183" s="1" t="s">
        <v>191</v>
      </c>
      <c r="C183" s="3">
        <v>2800000</v>
      </c>
      <c r="D183" s="2">
        <v>120000</v>
      </c>
      <c r="E183" s="2">
        <v>28120</v>
      </c>
      <c r="F183" s="2">
        <f t="shared" si="65"/>
        <v>3.7902682302197062</v>
      </c>
      <c r="G183" s="2">
        <v>3790</v>
      </c>
      <c r="H183" s="2">
        <f t="shared" si="66"/>
        <v>0.67642334463680176</v>
      </c>
      <c r="I183" s="2">
        <v>3670</v>
      </c>
      <c r="J183" s="2">
        <f t="shared" si="67"/>
        <v>0.65500624665357843</v>
      </c>
      <c r="K183" s="2">
        <v>334</v>
      </c>
      <c r="L183" s="12">
        <f t="shared" si="68"/>
        <v>5.5713094245204334E-2</v>
      </c>
      <c r="M183" s="2">
        <v>16.93</v>
      </c>
      <c r="N183" s="2">
        <v>16</v>
      </c>
      <c r="O183" s="2">
        <v>176.3</v>
      </c>
      <c r="P183" s="2">
        <v>5.15</v>
      </c>
      <c r="Q183" s="2">
        <v>22.9</v>
      </c>
      <c r="R183" s="2">
        <v>92.1</v>
      </c>
      <c r="S183" s="2">
        <v>91.2</v>
      </c>
      <c r="T183" s="2">
        <v>19.7</v>
      </c>
      <c r="U183" s="2">
        <v>4.99</v>
      </c>
      <c r="V183" s="2">
        <v>19.7</v>
      </c>
      <c r="W183" s="2">
        <v>19.899999999999999</v>
      </c>
      <c r="X183" s="2">
        <v>42.5</v>
      </c>
      <c r="Y183" s="2">
        <v>4.87</v>
      </c>
      <c r="Z183" s="2">
        <v>18</v>
      </c>
      <c r="AA183" s="2">
        <v>4.3499999999999996</v>
      </c>
      <c r="AB183" s="2">
        <v>0.10199999999999999</v>
      </c>
      <c r="AC183" s="2">
        <v>3.7</v>
      </c>
      <c r="AD183" s="2">
        <v>0.68</v>
      </c>
      <c r="AE183" s="2">
        <v>4.03</v>
      </c>
      <c r="AF183" s="2">
        <v>0.72</v>
      </c>
      <c r="AG183" s="2">
        <v>2.52</v>
      </c>
      <c r="AH183" s="2">
        <v>0.32400000000000001</v>
      </c>
      <c r="AI183" s="2">
        <v>2.71</v>
      </c>
      <c r="AJ183" s="2">
        <v>0.373</v>
      </c>
      <c r="AK183" s="2">
        <v>3.91</v>
      </c>
      <c r="AL183" s="2">
        <v>1.61</v>
      </c>
      <c r="AM183" s="2">
        <v>26.3</v>
      </c>
      <c r="AN183" s="2">
        <v>18.7</v>
      </c>
      <c r="AO183" s="2">
        <v>6</v>
      </c>
    </row>
    <row r="184" spans="1:41">
      <c r="A184" s="2">
        <v>35.799999999999997</v>
      </c>
      <c r="B184" s="1" t="s">
        <v>192</v>
      </c>
      <c r="C184" s="3">
        <v>2870000</v>
      </c>
      <c r="D184" s="2">
        <v>180000</v>
      </c>
      <c r="E184" s="2">
        <v>29290</v>
      </c>
      <c r="F184" s="2">
        <f t="shared" si="65"/>
        <v>3.9479714247203126</v>
      </c>
      <c r="G184" s="2">
        <v>3890</v>
      </c>
      <c r="H184" s="2">
        <f t="shared" si="66"/>
        <v>0.69427092628948772</v>
      </c>
      <c r="I184" s="2">
        <v>3800</v>
      </c>
      <c r="J184" s="2">
        <f t="shared" si="67"/>
        <v>0.67820810280207033</v>
      </c>
      <c r="K184" s="2">
        <v>356</v>
      </c>
      <c r="L184" s="12">
        <f t="shared" si="68"/>
        <v>5.9382819015846529E-2</v>
      </c>
      <c r="M184" s="2">
        <v>17.05</v>
      </c>
      <c r="N184" s="2">
        <v>17.2</v>
      </c>
      <c r="O184" s="2">
        <v>180.6</v>
      </c>
      <c r="P184" s="2">
        <v>6.2</v>
      </c>
      <c r="Q184" s="2">
        <v>22.8</v>
      </c>
      <c r="R184" s="2">
        <v>93.1</v>
      </c>
      <c r="S184" s="2">
        <v>95.2</v>
      </c>
      <c r="T184" s="2">
        <v>20.8</v>
      </c>
      <c r="U184" s="2">
        <v>5.37</v>
      </c>
      <c r="V184" s="2">
        <v>21.6</v>
      </c>
      <c r="W184" s="2">
        <v>21.2</v>
      </c>
      <c r="X184" s="2">
        <v>44.2</v>
      </c>
      <c r="Y184" s="2">
        <v>5.05</v>
      </c>
      <c r="Z184" s="2">
        <v>17.5</v>
      </c>
      <c r="AA184" s="2">
        <v>4.4800000000000004</v>
      </c>
      <c r="AB184" s="2">
        <v>0.17</v>
      </c>
      <c r="AC184" s="2">
        <v>3.3</v>
      </c>
      <c r="AD184" s="2">
        <v>0.59</v>
      </c>
      <c r="AE184" s="2">
        <v>3.88</v>
      </c>
      <c r="AF184" s="2">
        <v>0.83</v>
      </c>
      <c r="AG184" s="2">
        <v>2.33</v>
      </c>
      <c r="AH184" s="2">
        <v>0.40899999999999997</v>
      </c>
      <c r="AI184" s="2">
        <v>2.93</v>
      </c>
      <c r="AJ184" s="2">
        <v>0.42899999999999999</v>
      </c>
      <c r="AK184" s="2">
        <v>3.88</v>
      </c>
      <c r="AL184" s="2">
        <v>1.63</v>
      </c>
      <c r="AM184" s="2">
        <v>26.9</v>
      </c>
      <c r="AN184" s="2">
        <v>18.399999999999999</v>
      </c>
      <c r="AO184" s="2">
        <v>5.94</v>
      </c>
    </row>
    <row r="185" spans="1:41">
      <c r="A185" s="2">
        <v>35.799999999999997</v>
      </c>
      <c r="B185" s="1" t="s">
        <v>193</v>
      </c>
      <c r="C185" s="3">
        <v>2730000</v>
      </c>
      <c r="D185" s="2">
        <v>200000</v>
      </c>
      <c r="E185" s="2">
        <v>29560</v>
      </c>
      <c r="F185" s="2">
        <f t="shared" si="65"/>
        <v>3.984364469605068</v>
      </c>
      <c r="G185" s="2">
        <v>3820</v>
      </c>
      <c r="H185" s="2">
        <f t="shared" si="66"/>
        <v>0.68177761913260748</v>
      </c>
      <c r="I185" s="2">
        <v>3620</v>
      </c>
      <c r="J185" s="2">
        <f t="shared" si="67"/>
        <v>0.64608245582723534</v>
      </c>
      <c r="K185" s="2">
        <v>344</v>
      </c>
      <c r="L185" s="12">
        <f t="shared" si="68"/>
        <v>5.7381150959132605E-2</v>
      </c>
      <c r="M185" s="2">
        <v>16.489999999999998</v>
      </c>
      <c r="N185" s="2">
        <v>16.75</v>
      </c>
      <c r="O185" s="2">
        <v>174.3</v>
      </c>
      <c r="P185" s="2">
        <v>5.74</v>
      </c>
      <c r="Q185" s="2">
        <v>23</v>
      </c>
      <c r="R185" s="2">
        <v>89.1</v>
      </c>
      <c r="S185" s="2">
        <v>87.4</v>
      </c>
      <c r="T185" s="2">
        <v>20</v>
      </c>
      <c r="U185" s="2">
        <v>4.8899999999999997</v>
      </c>
      <c r="V185" s="2">
        <v>20.8</v>
      </c>
      <c r="W185" s="2">
        <v>20.100000000000001</v>
      </c>
      <c r="X185" s="2">
        <v>43</v>
      </c>
      <c r="Y185" s="2">
        <v>4.91</v>
      </c>
      <c r="Z185" s="2">
        <v>18.2</v>
      </c>
      <c r="AA185" s="2">
        <v>4.3899999999999997</v>
      </c>
      <c r="AB185" s="2">
        <v>0.16</v>
      </c>
      <c r="AC185" s="2">
        <v>4</v>
      </c>
      <c r="AD185" s="2">
        <v>0.55000000000000004</v>
      </c>
      <c r="AE185" s="2">
        <v>4.0599999999999996</v>
      </c>
      <c r="AF185" s="2">
        <v>0.73</v>
      </c>
      <c r="AG185" s="2">
        <v>2.5299999999999998</v>
      </c>
      <c r="AH185" s="2">
        <v>0.3</v>
      </c>
      <c r="AI185" s="2">
        <v>2.44</v>
      </c>
      <c r="AJ185" s="2">
        <v>0.39700000000000002</v>
      </c>
      <c r="AK185" s="2">
        <v>4.0999999999999996</v>
      </c>
      <c r="AL185" s="2">
        <v>1.73</v>
      </c>
      <c r="AM185" s="2">
        <v>26.2</v>
      </c>
      <c r="AN185" s="2">
        <v>18.5</v>
      </c>
      <c r="AO185" s="2">
        <v>6.1</v>
      </c>
    </row>
    <row r="186" spans="1:41">
      <c r="A186" s="2">
        <v>35.799999999999997</v>
      </c>
      <c r="B186" s="1" t="s">
        <v>194</v>
      </c>
      <c r="C186" s="3">
        <v>2920000</v>
      </c>
      <c r="D186" s="2">
        <v>210000</v>
      </c>
      <c r="E186" s="2">
        <v>28380</v>
      </c>
      <c r="F186" s="2">
        <f t="shared" si="65"/>
        <v>3.8253133845531746</v>
      </c>
      <c r="G186" s="2">
        <v>3960</v>
      </c>
      <c r="H186" s="2">
        <f t="shared" si="66"/>
        <v>0.70676423344636796</v>
      </c>
      <c r="I186" s="2">
        <v>3570</v>
      </c>
      <c r="J186" s="2">
        <f t="shared" si="67"/>
        <v>0.63715866500089235</v>
      </c>
      <c r="K186" s="2">
        <v>338</v>
      </c>
      <c r="L186" s="12">
        <f t="shared" si="68"/>
        <v>5.6380316930775644E-2</v>
      </c>
      <c r="M186" s="2">
        <v>15.92</v>
      </c>
      <c r="N186" s="2">
        <v>16.11</v>
      </c>
      <c r="O186" s="2">
        <v>177.5</v>
      </c>
      <c r="P186" s="2">
        <v>5.05</v>
      </c>
      <c r="Q186" s="2">
        <v>23.2</v>
      </c>
      <c r="R186" s="2">
        <v>91.5</v>
      </c>
      <c r="S186" s="2">
        <v>94.6</v>
      </c>
      <c r="T186" s="2">
        <v>20.5</v>
      </c>
      <c r="U186" s="2">
        <v>5.32</v>
      </c>
      <c r="V186" s="2">
        <v>20.7</v>
      </c>
      <c r="W186" s="2">
        <v>20.329999999999998</v>
      </c>
      <c r="X186" s="2">
        <v>44.3</v>
      </c>
      <c r="Y186" s="2">
        <v>5.34</v>
      </c>
      <c r="Z186" s="2">
        <v>19.399999999999999</v>
      </c>
      <c r="AA186" s="2">
        <v>3.74</v>
      </c>
      <c r="AB186" s="2">
        <v>0.182</v>
      </c>
      <c r="AC186" s="2">
        <v>4.0999999999999996</v>
      </c>
      <c r="AD186" s="2">
        <v>0.78</v>
      </c>
      <c r="AE186" s="2">
        <v>4.45</v>
      </c>
      <c r="AF186" s="2">
        <v>0.83</v>
      </c>
      <c r="AG186" s="2">
        <v>2.74</v>
      </c>
      <c r="AH186" s="2">
        <v>0.40799999999999997</v>
      </c>
      <c r="AI186" s="2">
        <v>2.54</v>
      </c>
      <c r="AJ186" s="2">
        <v>0.42</v>
      </c>
      <c r="AK186" s="2">
        <v>4.1900000000000004</v>
      </c>
      <c r="AL186" s="2">
        <v>1.72</v>
      </c>
      <c r="AM186" s="2">
        <v>26.8</v>
      </c>
      <c r="AN186" s="2">
        <v>18.899999999999999</v>
      </c>
      <c r="AO186" s="2">
        <v>6.24</v>
      </c>
    </row>
    <row r="187" spans="1:41">
      <c r="A187" s="2">
        <v>35.799999999999997</v>
      </c>
      <c r="B187" s="1" t="s">
        <v>195</v>
      </c>
      <c r="C187" s="3">
        <v>2680000</v>
      </c>
      <c r="D187" s="2">
        <v>120000</v>
      </c>
      <c r="E187" s="2">
        <v>29690</v>
      </c>
      <c r="F187" s="2">
        <f t="shared" si="65"/>
        <v>4.0018870467718024</v>
      </c>
      <c r="G187" s="2">
        <v>3400</v>
      </c>
      <c r="H187" s="2">
        <f t="shared" si="66"/>
        <v>0.60681777619132604</v>
      </c>
      <c r="I187" s="2">
        <v>3500</v>
      </c>
      <c r="J187" s="2">
        <f t="shared" si="67"/>
        <v>0.62466535784401211</v>
      </c>
      <c r="K187" s="2">
        <v>319</v>
      </c>
      <c r="L187" s="12">
        <f t="shared" si="68"/>
        <v>5.3211009174311923E-2</v>
      </c>
      <c r="M187" s="2">
        <v>17</v>
      </c>
      <c r="N187" s="2">
        <v>17.2</v>
      </c>
      <c r="O187" s="2">
        <v>177.1</v>
      </c>
      <c r="P187" s="2">
        <v>5</v>
      </c>
      <c r="Q187" s="2">
        <v>21.3</v>
      </c>
      <c r="R187" s="2">
        <v>90.4</v>
      </c>
      <c r="S187" s="2">
        <v>90.8</v>
      </c>
      <c r="T187" s="2">
        <v>20.3</v>
      </c>
      <c r="U187" s="2">
        <v>5.54</v>
      </c>
      <c r="V187" s="2">
        <v>17.899999999999999</v>
      </c>
      <c r="W187" s="2">
        <v>21</v>
      </c>
      <c r="X187" s="2">
        <v>44</v>
      </c>
      <c r="Y187" s="2">
        <v>5.16</v>
      </c>
      <c r="Z187" s="2">
        <v>19.100000000000001</v>
      </c>
      <c r="AA187" s="2">
        <v>3.67</v>
      </c>
      <c r="AB187" s="2">
        <v>0.17899999999999999</v>
      </c>
      <c r="AC187" s="2">
        <v>3.4</v>
      </c>
      <c r="AD187" s="2">
        <v>0.66</v>
      </c>
      <c r="AE187" s="2">
        <v>3.74</v>
      </c>
      <c r="AF187" s="2">
        <v>0.98</v>
      </c>
      <c r="AG187" s="2">
        <v>2.94</v>
      </c>
      <c r="AH187" s="2">
        <v>0.34</v>
      </c>
      <c r="AI187" s="2">
        <v>3.04</v>
      </c>
      <c r="AJ187" s="2">
        <v>0.35799999999999998</v>
      </c>
      <c r="AK187" s="2">
        <v>4.32</v>
      </c>
      <c r="AL187" s="2">
        <v>1.67</v>
      </c>
      <c r="AM187" s="2">
        <v>27.3</v>
      </c>
      <c r="AN187" s="2">
        <v>18.899999999999999</v>
      </c>
      <c r="AO187" s="2">
        <v>6.2</v>
      </c>
    </row>
    <row r="188" spans="1:41">
      <c r="A188" s="2">
        <v>35.799999999999997</v>
      </c>
      <c r="B188" s="1" t="s">
        <v>196</v>
      </c>
      <c r="C188" s="3">
        <v>2640000</v>
      </c>
      <c r="D188" s="2">
        <v>150000</v>
      </c>
      <c r="E188" s="2">
        <v>29160</v>
      </c>
      <c r="F188" s="2">
        <f t="shared" si="65"/>
        <v>3.9304488475535786</v>
      </c>
      <c r="G188" s="2">
        <v>3390</v>
      </c>
      <c r="H188" s="2">
        <f t="shared" si="66"/>
        <v>0.60503301802605747</v>
      </c>
      <c r="I188" s="2">
        <v>3404</v>
      </c>
      <c r="J188" s="2">
        <f t="shared" si="67"/>
        <v>0.60753167945743358</v>
      </c>
      <c r="K188" s="2">
        <v>338</v>
      </c>
      <c r="L188" s="12">
        <f t="shared" si="68"/>
        <v>5.6380316930775644E-2</v>
      </c>
      <c r="M188" s="2">
        <v>16.649999999999999</v>
      </c>
      <c r="N188" s="2">
        <v>17.3</v>
      </c>
      <c r="O188" s="2">
        <v>182.1</v>
      </c>
      <c r="P188" s="2">
        <v>4.5</v>
      </c>
      <c r="Q188" s="2">
        <v>23.5</v>
      </c>
      <c r="R188" s="2">
        <v>97.5</v>
      </c>
      <c r="S188" s="2">
        <v>98.8</v>
      </c>
      <c r="T188" s="2">
        <v>22.1</v>
      </c>
      <c r="U188" s="2">
        <v>5.87</v>
      </c>
      <c r="V188" s="2">
        <v>18.399999999999999</v>
      </c>
      <c r="W188" s="2">
        <v>22.9</v>
      </c>
      <c r="X188" s="2">
        <v>48</v>
      </c>
      <c r="Y188" s="2">
        <v>5.38</v>
      </c>
      <c r="Z188" s="2">
        <v>21.8</v>
      </c>
      <c r="AA188" s="2">
        <v>4.55</v>
      </c>
      <c r="AB188" s="2">
        <v>7.0999999999999994E-2</v>
      </c>
      <c r="AC188" s="2">
        <v>3.7</v>
      </c>
      <c r="AD188" s="2">
        <v>0.67</v>
      </c>
      <c r="AE188" s="2">
        <v>4.2</v>
      </c>
      <c r="AF188" s="2">
        <v>0.88</v>
      </c>
      <c r="AG188" s="2">
        <v>2.95</v>
      </c>
      <c r="AH188" s="2">
        <v>0.45</v>
      </c>
      <c r="AI188" s="2">
        <v>3.03</v>
      </c>
      <c r="AJ188" s="2">
        <v>0.44900000000000001</v>
      </c>
      <c r="AK188" s="2">
        <v>4.32</v>
      </c>
      <c r="AL188" s="2">
        <v>1.85</v>
      </c>
      <c r="AM188" s="2">
        <v>26.6</v>
      </c>
      <c r="AN188" s="2">
        <v>20.399999999999999</v>
      </c>
      <c r="AO188" s="2">
        <v>6.72</v>
      </c>
    </row>
    <row r="189" spans="1:41" s="36" customFormat="1">
      <c r="B189" s="13" t="s">
        <v>60</v>
      </c>
      <c r="C189" s="14">
        <f>AVERAGE(C169:C188)</f>
        <v>2766500</v>
      </c>
      <c r="D189" s="14">
        <f t="shared" ref="D189:AO189" si="71">AVERAGE(D169:D188)</f>
        <v>153500</v>
      </c>
      <c r="E189" s="14">
        <f t="shared" si="71"/>
        <v>29343.5</v>
      </c>
      <c r="F189" s="14">
        <f t="shared" si="71"/>
        <v>3.9551826391696991</v>
      </c>
      <c r="G189" s="14">
        <f t="shared" si="71"/>
        <v>3710.5</v>
      </c>
      <c r="H189" s="14">
        <f t="shared" si="71"/>
        <v>0.66223451722291626</v>
      </c>
      <c r="I189" s="14">
        <f t="shared" si="71"/>
        <v>3665.2</v>
      </c>
      <c r="J189" s="14">
        <f t="shared" si="71"/>
        <v>0.65414956273424951</v>
      </c>
      <c r="K189" s="14">
        <f t="shared" si="71"/>
        <v>347.75</v>
      </c>
      <c r="L189" s="14">
        <f t="shared" si="71"/>
        <v>5.8006672226855717E-2</v>
      </c>
      <c r="M189" s="14">
        <f t="shared" si="71"/>
        <v>16.536999999999999</v>
      </c>
      <c r="N189" s="14">
        <f t="shared" si="71"/>
        <v>16.964500000000001</v>
      </c>
      <c r="O189" s="14">
        <f t="shared" si="71"/>
        <v>177.91000000000003</v>
      </c>
      <c r="P189" s="14">
        <f t="shared" si="71"/>
        <v>5.3239999999999998</v>
      </c>
      <c r="Q189" s="14">
        <f t="shared" si="71"/>
        <v>22.93</v>
      </c>
      <c r="R189" s="14">
        <f t="shared" si="71"/>
        <v>92.695000000000007</v>
      </c>
      <c r="S189" s="14">
        <f t="shared" si="71"/>
        <v>92.11</v>
      </c>
      <c r="T189" s="14">
        <f t="shared" si="71"/>
        <v>20.356000000000002</v>
      </c>
      <c r="U189" s="14">
        <f t="shared" si="71"/>
        <v>5.4230000000000009</v>
      </c>
      <c r="V189" s="14">
        <f t="shared" si="71"/>
        <v>20.245000000000001</v>
      </c>
      <c r="W189" s="14">
        <f t="shared" si="71"/>
        <v>20.922999999999998</v>
      </c>
      <c r="X189" s="14">
        <f t="shared" si="71"/>
        <v>44.760000000000005</v>
      </c>
      <c r="Y189" s="14">
        <f t="shared" si="71"/>
        <v>5.2079999999999984</v>
      </c>
      <c r="Z189" s="14">
        <f t="shared" si="71"/>
        <v>19.185499999999998</v>
      </c>
      <c r="AA189" s="14">
        <f t="shared" si="71"/>
        <v>4.3239999999999998</v>
      </c>
      <c r="AB189" s="14">
        <f t="shared" si="71"/>
        <v>0.15065000000000001</v>
      </c>
      <c r="AC189" s="14">
        <f t="shared" si="71"/>
        <v>3.6480000000000006</v>
      </c>
      <c r="AD189" s="14">
        <f t="shared" si="71"/>
        <v>0.622</v>
      </c>
      <c r="AE189" s="14">
        <f t="shared" si="71"/>
        <v>3.9229999999999996</v>
      </c>
      <c r="AF189" s="14">
        <f t="shared" si="71"/>
        <v>0.80380000000000018</v>
      </c>
      <c r="AG189" s="14">
        <f t="shared" si="71"/>
        <v>2.5529999999999999</v>
      </c>
      <c r="AH189" s="14">
        <f t="shared" si="71"/>
        <v>0.36154999999999998</v>
      </c>
      <c r="AI189" s="14">
        <f t="shared" si="71"/>
        <v>2.6545000000000001</v>
      </c>
      <c r="AJ189" s="14">
        <f t="shared" si="71"/>
        <v>0.38920000000000005</v>
      </c>
      <c r="AK189" s="14">
        <f t="shared" si="71"/>
        <v>4.0659999999999998</v>
      </c>
      <c r="AL189" s="14">
        <f t="shared" si="71"/>
        <v>1.7065000000000001</v>
      </c>
      <c r="AM189" s="14">
        <f t="shared" si="71"/>
        <v>26.95</v>
      </c>
      <c r="AN189" s="14">
        <f t="shared" si="71"/>
        <v>18.795499999999997</v>
      </c>
      <c r="AO189" s="14">
        <f t="shared" si="71"/>
        <v>6.1824999999999992</v>
      </c>
    </row>
    <row r="190" spans="1:41" s="36" customFormat="1">
      <c r="B190" s="13" t="s">
        <v>61</v>
      </c>
      <c r="C190" s="14">
        <f>STDEV(C169:C188)</f>
        <v>95491.801797464868</v>
      </c>
      <c r="D190" s="14">
        <f t="shared" ref="D190:AO190" si="72">STDEV(D169:D188)</f>
        <v>27582.412397834432</v>
      </c>
      <c r="E190" s="14">
        <f t="shared" si="72"/>
        <v>538.51916840242745</v>
      </c>
      <c r="F190" s="14">
        <f t="shared" si="72"/>
        <v>7.2586489877669094E-2</v>
      </c>
      <c r="G190" s="14">
        <f t="shared" si="72"/>
        <v>177.83715200030321</v>
      </c>
      <c r="H190" s="14">
        <f t="shared" si="72"/>
        <v>3.1739630912065539E-2</v>
      </c>
      <c r="I190" s="14">
        <f t="shared" si="72"/>
        <v>127.31957306011722</v>
      </c>
      <c r="J190" s="14">
        <f t="shared" si="72"/>
        <v>2.2723464761755692E-2</v>
      </c>
      <c r="K190" s="14">
        <f t="shared" si="72"/>
        <v>12.677684497199255</v>
      </c>
      <c r="L190" s="14">
        <f t="shared" si="72"/>
        <v>2.1147096742617595E-3</v>
      </c>
      <c r="M190" s="14">
        <f t="shared" si="72"/>
        <v>0.52017304812917786</v>
      </c>
      <c r="N190" s="14">
        <f t="shared" si="72"/>
        <v>0.66929243864027965</v>
      </c>
      <c r="O190" s="14">
        <f t="shared" si="72"/>
        <v>3.3805792091701785</v>
      </c>
      <c r="P190" s="14">
        <f t="shared" si="72"/>
        <v>0.43807473527265944</v>
      </c>
      <c r="Q190" s="14">
        <f t="shared" si="72"/>
        <v>0.58610220053646267</v>
      </c>
      <c r="R190" s="14">
        <f t="shared" si="72"/>
        <v>1.9752348294769775</v>
      </c>
      <c r="S190" s="14">
        <f t="shared" si="72"/>
        <v>2.7426264783962102</v>
      </c>
      <c r="T190" s="14">
        <f t="shared" si="72"/>
        <v>0.73377466783604273</v>
      </c>
      <c r="U190" s="14">
        <f t="shared" si="72"/>
        <v>0.2298992914528584</v>
      </c>
      <c r="V190" s="14">
        <f t="shared" si="72"/>
        <v>1.5588372859957285</v>
      </c>
      <c r="W190" s="14">
        <f t="shared" si="72"/>
        <v>0.79451474763564112</v>
      </c>
      <c r="X190" s="14">
        <f t="shared" si="72"/>
        <v>1.318452042917635</v>
      </c>
      <c r="Y190" s="14">
        <f t="shared" si="72"/>
        <v>0.21130172988556334</v>
      </c>
      <c r="Z190" s="14">
        <f t="shared" si="72"/>
        <v>1.2119991097790723</v>
      </c>
      <c r="AA190" s="14">
        <f t="shared" si="72"/>
        <v>0.44793561567426066</v>
      </c>
      <c r="AB190" s="14">
        <f t="shared" si="72"/>
        <v>4.4632151498313698E-2</v>
      </c>
      <c r="AC190" s="14">
        <f t="shared" si="72"/>
        <v>0.36602559588381967</v>
      </c>
      <c r="AD190" s="14">
        <f t="shared" si="72"/>
        <v>7.8913677021494266E-2</v>
      </c>
      <c r="AE190" s="14">
        <f t="shared" si="72"/>
        <v>0.28582475308077188</v>
      </c>
      <c r="AF190" s="14">
        <f t="shared" si="72"/>
        <v>7.757821180826753E-2</v>
      </c>
      <c r="AG190" s="14">
        <f t="shared" si="72"/>
        <v>0.27495645588270401</v>
      </c>
      <c r="AH190" s="14">
        <f t="shared" si="72"/>
        <v>5.069358414715034E-2</v>
      </c>
      <c r="AI190" s="14">
        <f t="shared" si="72"/>
        <v>0.28785001577027525</v>
      </c>
      <c r="AJ190" s="14">
        <f t="shared" si="72"/>
        <v>4.4169053229131769E-2</v>
      </c>
      <c r="AK190" s="14">
        <f t="shared" si="72"/>
        <v>0.20874058440788978</v>
      </c>
      <c r="AL190" s="14">
        <f t="shared" si="72"/>
        <v>9.6859909690558549E-2</v>
      </c>
      <c r="AM190" s="14">
        <f t="shared" si="72"/>
        <v>0.88822709282089174</v>
      </c>
      <c r="AN190" s="14">
        <f t="shared" si="72"/>
        <v>0.46931613181196657</v>
      </c>
      <c r="AO190" s="14">
        <f t="shared" si="72"/>
        <v>0.22218709517692029</v>
      </c>
    </row>
    <row r="191" spans="1:41">
      <c r="C191" s="3"/>
      <c r="L191" s="12"/>
    </row>
    <row r="192" spans="1:41">
      <c r="C192" s="3"/>
      <c r="L192" s="12"/>
    </row>
    <row r="193" spans="1:41">
      <c r="A193" s="2">
        <v>35.9</v>
      </c>
      <c r="B193" s="1" t="s">
        <v>197</v>
      </c>
      <c r="C193" s="3">
        <v>2850000</v>
      </c>
      <c r="D193" s="2">
        <v>170000</v>
      </c>
      <c r="E193" s="2">
        <v>29180</v>
      </c>
      <c r="F193" s="2">
        <f t="shared" si="65"/>
        <v>3.9331446286561529</v>
      </c>
      <c r="G193" s="2">
        <v>3710</v>
      </c>
      <c r="H193" s="2">
        <f t="shared" si="66"/>
        <v>0.66214527931465283</v>
      </c>
      <c r="I193" s="2">
        <v>3680</v>
      </c>
      <c r="J193" s="2">
        <f t="shared" si="67"/>
        <v>0.656791004818847</v>
      </c>
      <c r="K193" s="2">
        <v>341</v>
      </c>
      <c r="L193" s="12">
        <f t="shared" si="68"/>
        <v>5.6880733944954125E-2</v>
      </c>
      <c r="M193" s="2">
        <v>16.75</v>
      </c>
      <c r="N193" s="2">
        <v>16.899999999999999</v>
      </c>
      <c r="O193" s="2">
        <v>177.4</v>
      </c>
      <c r="P193" s="2">
        <v>6.07</v>
      </c>
      <c r="Q193" s="2">
        <v>22.7</v>
      </c>
      <c r="R193" s="2">
        <v>92.7</v>
      </c>
      <c r="S193" s="2">
        <v>95.3</v>
      </c>
      <c r="T193" s="2">
        <v>20.96</v>
      </c>
      <c r="U193" s="2">
        <v>5.65</v>
      </c>
      <c r="V193" s="2">
        <v>21.5</v>
      </c>
      <c r="W193" s="2">
        <v>21.49</v>
      </c>
      <c r="X193" s="2">
        <v>45.9</v>
      </c>
      <c r="Y193" s="2">
        <v>5.33</v>
      </c>
      <c r="Z193" s="2">
        <v>18.5</v>
      </c>
      <c r="AA193" s="2">
        <v>3.93</v>
      </c>
      <c r="AB193" s="2">
        <v>0.25</v>
      </c>
      <c r="AC193" s="2">
        <v>3.9</v>
      </c>
      <c r="AD193" s="2">
        <v>0.61</v>
      </c>
      <c r="AE193" s="2">
        <v>3.92</v>
      </c>
      <c r="AF193" s="2">
        <v>0.73</v>
      </c>
      <c r="AG193" s="2">
        <v>2.39</v>
      </c>
      <c r="AH193" s="2">
        <v>0.38400000000000001</v>
      </c>
      <c r="AI193" s="2">
        <v>2.78</v>
      </c>
      <c r="AJ193" s="2">
        <v>0.36899999999999999</v>
      </c>
      <c r="AK193" s="2">
        <v>4.08</v>
      </c>
      <c r="AL193" s="2">
        <v>1.56</v>
      </c>
      <c r="AM193" s="2">
        <v>27.4</v>
      </c>
      <c r="AN193" s="2">
        <v>18.399999999999999</v>
      </c>
      <c r="AO193" s="2">
        <v>6.11</v>
      </c>
    </row>
    <row r="194" spans="1:41">
      <c r="A194" s="2">
        <v>35.9</v>
      </c>
      <c r="B194" s="1" t="s">
        <v>198</v>
      </c>
      <c r="C194" s="3">
        <v>2860000</v>
      </c>
      <c r="D194" s="2">
        <v>180000</v>
      </c>
      <c r="E194" s="2">
        <v>29490</v>
      </c>
      <c r="F194" s="2">
        <f t="shared" si="65"/>
        <v>3.9749292357460573</v>
      </c>
      <c r="G194" s="2">
        <v>4250</v>
      </c>
      <c r="H194" s="2">
        <f t="shared" si="66"/>
        <v>0.75852222023915761</v>
      </c>
      <c r="I194" s="2">
        <v>3790</v>
      </c>
      <c r="J194" s="2">
        <f t="shared" si="67"/>
        <v>0.67642334463680176</v>
      </c>
      <c r="K194" s="2">
        <v>345</v>
      </c>
      <c r="L194" s="12">
        <f t="shared" si="68"/>
        <v>5.7547956630525435E-2</v>
      </c>
      <c r="M194" s="2">
        <v>17.07</v>
      </c>
      <c r="N194" s="2">
        <v>19</v>
      </c>
      <c r="O194" s="2">
        <v>177.7</v>
      </c>
      <c r="P194" s="2">
        <v>5.42</v>
      </c>
      <c r="Q194" s="2">
        <v>24.5</v>
      </c>
      <c r="R194" s="2">
        <v>96.8</v>
      </c>
      <c r="S194" s="2">
        <v>94.2</v>
      </c>
      <c r="T194" s="2">
        <v>21.37</v>
      </c>
      <c r="U194" s="2">
        <v>5.5</v>
      </c>
      <c r="V194" s="2">
        <v>21.3</v>
      </c>
      <c r="W194" s="2">
        <v>22</v>
      </c>
      <c r="X194" s="2">
        <v>46.2</v>
      </c>
      <c r="Y194" s="2">
        <v>5.46</v>
      </c>
      <c r="Z194" s="2">
        <v>19</v>
      </c>
      <c r="AA194" s="2">
        <v>4.29</v>
      </c>
      <c r="AB194" s="2">
        <v>0.18</v>
      </c>
      <c r="AC194" s="2">
        <v>3.3</v>
      </c>
      <c r="AD194" s="2">
        <v>0.65</v>
      </c>
      <c r="AE194" s="2">
        <v>3.83</v>
      </c>
      <c r="AF194" s="2">
        <v>0.8</v>
      </c>
      <c r="AG194" s="2">
        <v>2.74</v>
      </c>
      <c r="AH194" s="2">
        <v>0.34</v>
      </c>
      <c r="AI194" s="2">
        <v>2.66</v>
      </c>
      <c r="AJ194" s="2">
        <v>0.40699999999999997</v>
      </c>
      <c r="AK194" s="2">
        <v>3.94</v>
      </c>
      <c r="AL194" s="2">
        <v>1.86</v>
      </c>
      <c r="AM194" s="2">
        <v>27.4</v>
      </c>
      <c r="AN194" s="2">
        <v>19.2</v>
      </c>
      <c r="AO194" s="2">
        <v>6.1</v>
      </c>
    </row>
    <row r="195" spans="1:41">
      <c r="A195" s="2">
        <v>35.9</v>
      </c>
      <c r="B195" s="1" t="s">
        <v>199</v>
      </c>
      <c r="C195" s="3">
        <v>2960000</v>
      </c>
      <c r="D195" s="2">
        <v>170000</v>
      </c>
      <c r="E195" s="2">
        <v>28890</v>
      </c>
      <c r="F195" s="2">
        <f t="shared" si="65"/>
        <v>3.8940558026688232</v>
      </c>
      <c r="G195" s="2">
        <v>3540</v>
      </c>
      <c r="H195" s="2">
        <f t="shared" si="66"/>
        <v>0.63180439050508652</v>
      </c>
      <c r="I195" s="2">
        <v>3716</v>
      </c>
      <c r="J195" s="2">
        <f t="shared" si="67"/>
        <v>0.66321613421381398</v>
      </c>
      <c r="K195" s="2">
        <v>336</v>
      </c>
      <c r="L195" s="12">
        <f t="shared" si="68"/>
        <v>5.6046705587989992E-2</v>
      </c>
      <c r="M195" s="2">
        <v>16.329999999999998</v>
      </c>
      <c r="N195" s="2">
        <v>16.600000000000001</v>
      </c>
      <c r="O195" s="2">
        <v>175.4</v>
      </c>
      <c r="P195" s="2">
        <v>5.73</v>
      </c>
      <c r="Q195" s="2">
        <v>22.05</v>
      </c>
      <c r="R195" s="2">
        <v>92.4</v>
      </c>
      <c r="S195" s="2">
        <v>91.7</v>
      </c>
      <c r="T195" s="2">
        <v>20.55</v>
      </c>
      <c r="U195" s="2">
        <v>5.73</v>
      </c>
      <c r="V195" s="2">
        <v>20.3</v>
      </c>
      <c r="W195" s="2">
        <v>20.3</v>
      </c>
      <c r="X195" s="2">
        <v>42.9</v>
      </c>
      <c r="Y195" s="2">
        <v>5.0599999999999996</v>
      </c>
      <c r="Z195" s="2">
        <v>18.5</v>
      </c>
      <c r="AA195" s="2">
        <v>3.97</v>
      </c>
      <c r="AB195" s="2">
        <v>0.161</v>
      </c>
      <c r="AC195" s="2">
        <v>3.44</v>
      </c>
      <c r="AD195" s="2">
        <v>0.78</v>
      </c>
      <c r="AE195" s="2">
        <v>4.34</v>
      </c>
      <c r="AF195" s="2">
        <v>0.71</v>
      </c>
      <c r="AG195" s="2">
        <v>2.29</v>
      </c>
      <c r="AH195" s="2">
        <v>0.39800000000000002</v>
      </c>
      <c r="AI195" s="2">
        <v>2.38</v>
      </c>
      <c r="AJ195" s="2">
        <v>0.309</v>
      </c>
      <c r="AK195" s="2">
        <v>3.67</v>
      </c>
      <c r="AL195" s="2">
        <v>1.59</v>
      </c>
      <c r="AM195" s="2">
        <v>25.3</v>
      </c>
      <c r="AN195" s="2">
        <v>17.489999999999998</v>
      </c>
      <c r="AO195" s="2">
        <v>5.98</v>
      </c>
    </row>
    <row r="196" spans="1:41">
      <c r="A196" s="2">
        <v>35.9</v>
      </c>
      <c r="B196" s="1" t="s">
        <v>200</v>
      </c>
      <c r="C196" s="3">
        <v>3000000</v>
      </c>
      <c r="D196" s="2">
        <v>180000</v>
      </c>
      <c r="E196" s="2">
        <v>29390</v>
      </c>
      <c r="F196" s="2">
        <f t="shared" si="65"/>
        <v>3.9614503302331854</v>
      </c>
      <c r="G196" s="2">
        <v>3670</v>
      </c>
      <c r="H196" s="2">
        <f t="shared" si="66"/>
        <v>0.65500624665357843</v>
      </c>
      <c r="I196" s="2">
        <v>3680</v>
      </c>
      <c r="J196" s="2">
        <f t="shared" si="67"/>
        <v>0.656791004818847</v>
      </c>
      <c r="K196" s="2">
        <v>339</v>
      </c>
      <c r="L196" s="12">
        <f t="shared" si="68"/>
        <v>5.6547122602168473E-2</v>
      </c>
      <c r="M196" s="2">
        <v>16.7</v>
      </c>
      <c r="N196" s="2">
        <v>16.7</v>
      </c>
      <c r="O196" s="2">
        <v>175.4</v>
      </c>
      <c r="P196" s="2">
        <v>5.5</v>
      </c>
      <c r="Q196" s="2">
        <v>22.71</v>
      </c>
      <c r="R196" s="2">
        <v>89.3</v>
      </c>
      <c r="S196" s="2">
        <v>89.8</v>
      </c>
      <c r="T196" s="2">
        <v>20.3</v>
      </c>
      <c r="U196" s="2">
        <v>5.3</v>
      </c>
      <c r="V196" s="2">
        <v>20</v>
      </c>
      <c r="W196" s="2">
        <v>19.93</v>
      </c>
      <c r="X196" s="2">
        <v>42.4</v>
      </c>
      <c r="Y196" s="2">
        <v>5.04</v>
      </c>
      <c r="Z196" s="2">
        <v>18.2</v>
      </c>
      <c r="AA196" s="2">
        <v>3.53</v>
      </c>
      <c r="AB196" s="2">
        <v>0.129</v>
      </c>
      <c r="AC196" s="2">
        <v>3.72</v>
      </c>
      <c r="AD196" s="2">
        <v>0.55000000000000004</v>
      </c>
      <c r="AE196" s="2">
        <v>3.73</v>
      </c>
      <c r="AF196" s="2">
        <v>0.84</v>
      </c>
      <c r="AG196" s="2">
        <v>2.38</v>
      </c>
      <c r="AH196" s="2">
        <v>0.38100000000000001</v>
      </c>
      <c r="AI196" s="2">
        <v>2.5499999999999998</v>
      </c>
      <c r="AJ196" s="2">
        <v>0.40600000000000003</v>
      </c>
      <c r="AK196" s="2">
        <v>3.98</v>
      </c>
      <c r="AL196" s="2">
        <v>1.73</v>
      </c>
      <c r="AM196" s="2">
        <v>25.9</v>
      </c>
      <c r="AN196" s="2">
        <v>17.8</v>
      </c>
      <c r="AO196" s="2">
        <v>6.07</v>
      </c>
    </row>
    <row r="197" spans="1:41">
      <c r="A197" s="2">
        <v>35.9</v>
      </c>
      <c r="B197" s="1" t="s">
        <v>201</v>
      </c>
      <c r="C197" s="3">
        <v>2980000</v>
      </c>
      <c r="D197" s="2">
        <v>160000</v>
      </c>
      <c r="E197" s="2">
        <v>28920</v>
      </c>
      <c r="F197" s="2">
        <f t="shared" si="65"/>
        <v>3.8980994743226853</v>
      </c>
      <c r="G197" s="2">
        <v>3550</v>
      </c>
      <c r="H197" s="2">
        <f t="shared" si="66"/>
        <v>0.63358914867035521</v>
      </c>
      <c r="I197" s="2">
        <v>3580</v>
      </c>
      <c r="J197" s="2">
        <f t="shared" si="67"/>
        <v>0.63894342316616093</v>
      </c>
      <c r="K197" s="2">
        <v>339</v>
      </c>
      <c r="L197" s="12">
        <f t="shared" si="68"/>
        <v>5.6547122602168473E-2</v>
      </c>
      <c r="M197" s="2">
        <v>15.82</v>
      </c>
      <c r="N197" s="2">
        <v>16.3</v>
      </c>
      <c r="O197" s="2">
        <v>171.5</v>
      </c>
      <c r="P197" s="2">
        <v>5.22</v>
      </c>
      <c r="Q197" s="2">
        <v>22.7</v>
      </c>
      <c r="R197" s="2">
        <v>90.7</v>
      </c>
      <c r="S197" s="2">
        <v>90.3</v>
      </c>
      <c r="T197" s="2">
        <v>20.3</v>
      </c>
      <c r="U197" s="2">
        <v>5.43</v>
      </c>
      <c r="V197" s="2">
        <v>19.2</v>
      </c>
      <c r="W197" s="2">
        <v>20.51</v>
      </c>
      <c r="X197" s="2">
        <v>43.2</v>
      </c>
      <c r="Y197" s="2">
        <v>4.83</v>
      </c>
      <c r="Z197" s="2">
        <v>17.399999999999999</v>
      </c>
      <c r="AA197" s="2">
        <v>4.33</v>
      </c>
      <c r="AB197" s="2">
        <v>0.127</v>
      </c>
      <c r="AC197" s="2">
        <v>3.52</v>
      </c>
      <c r="AD197" s="2">
        <v>0.73</v>
      </c>
      <c r="AE197" s="2">
        <v>4.49</v>
      </c>
      <c r="AF197" s="2">
        <v>0.74</v>
      </c>
      <c r="AG197" s="2">
        <v>2.46</v>
      </c>
      <c r="AH197" s="2">
        <v>0.33400000000000002</v>
      </c>
      <c r="AI197" s="2">
        <v>2.91</v>
      </c>
      <c r="AJ197" s="2">
        <v>0.316</v>
      </c>
      <c r="AK197" s="2">
        <v>3.33</v>
      </c>
      <c r="AL197" s="2">
        <v>1.84</v>
      </c>
      <c r="AM197" s="2">
        <v>27.2</v>
      </c>
      <c r="AN197" s="2">
        <v>18.600000000000001</v>
      </c>
      <c r="AO197" s="2">
        <v>5.95</v>
      </c>
    </row>
    <row r="198" spans="1:41">
      <c r="A198" s="2">
        <v>35.9</v>
      </c>
      <c r="B198" s="1" t="s">
        <v>202</v>
      </c>
      <c r="C198" s="3">
        <v>2800000</v>
      </c>
      <c r="D198" s="2">
        <v>200000</v>
      </c>
      <c r="E198" s="2">
        <v>29420</v>
      </c>
      <c r="F198" s="2">
        <f t="shared" si="65"/>
        <v>3.9654940018870466</v>
      </c>
      <c r="G198" s="2">
        <v>3710</v>
      </c>
      <c r="H198" s="2">
        <f t="shared" si="66"/>
        <v>0.66214527931465283</v>
      </c>
      <c r="I198" s="2">
        <v>3671</v>
      </c>
      <c r="J198" s="2">
        <f t="shared" si="67"/>
        <v>0.65518472247010529</v>
      </c>
      <c r="K198" s="2">
        <v>340</v>
      </c>
      <c r="L198" s="12">
        <f t="shared" si="68"/>
        <v>5.6713928273561295E-2</v>
      </c>
      <c r="M198" s="2">
        <v>16.059999999999999</v>
      </c>
      <c r="N198" s="2">
        <v>16.600000000000001</v>
      </c>
      <c r="O198" s="2">
        <v>176</v>
      </c>
      <c r="P198" s="2">
        <v>5.89</v>
      </c>
      <c r="Q198" s="2">
        <v>22.55</v>
      </c>
      <c r="R198" s="2">
        <v>92.1</v>
      </c>
      <c r="S198" s="2">
        <v>91.2</v>
      </c>
      <c r="T198" s="2">
        <v>20.100000000000001</v>
      </c>
      <c r="U198" s="2">
        <v>5.34</v>
      </c>
      <c r="V198" s="2">
        <v>19.12</v>
      </c>
      <c r="W198" s="2">
        <v>20.399999999999999</v>
      </c>
      <c r="X198" s="2">
        <v>43.4</v>
      </c>
      <c r="Y198" s="2">
        <v>5.19</v>
      </c>
      <c r="Z198" s="2">
        <v>18</v>
      </c>
      <c r="AA198" s="2">
        <v>4.49</v>
      </c>
      <c r="AB198" s="2">
        <v>0.25</v>
      </c>
      <c r="AC198" s="2">
        <v>3</v>
      </c>
      <c r="AD198" s="2">
        <v>0.57999999999999996</v>
      </c>
      <c r="AE198" s="2">
        <v>3.43</v>
      </c>
      <c r="AF198" s="2">
        <v>0.93</v>
      </c>
      <c r="AG198" s="2">
        <v>2.71</v>
      </c>
      <c r="AH198" s="2">
        <v>0.3</v>
      </c>
      <c r="AI198" s="2">
        <v>2.35</v>
      </c>
      <c r="AJ198" s="2">
        <v>0.34799999999999998</v>
      </c>
      <c r="AK198" s="2">
        <v>4.08</v>
      </c>
      <c r="AL198" s="2">
        <v>1.59</v>
      </c>
      <c r="AM198" s="2">
        <v>26.8</v>
      </c>
      <c r="AN198" s="2">
        <v>19.3</v>
      </c>
      <c r="AO198" s="2">
        <v>5.87</v>
      </c>
    </row>
    <row r="199" spans="1:41">
      <c r="A199" s="2">
        <v>35.9</v>
      </c>
      <c r="B199" s="1" t="s">
        <v>203</v>
      </c>
      <c r="C199" s="3">
        <v>2920000</v>
      </c>
      <c r="D199" s="2">
        <v>180000</v>
      </c>
      <c r="E199" s="2">
        <v>28450</v>
      </c>
      <c r="F199" s="2">
        <f t="shared" si="65"/>
        <v>3.8347486184121853</v>
      </c>
      <c r="G199" s="2">
        <v>3760</v>
      </c>
      <c r="H199" s="2">
        <f t="shared" si="66"/>
        <v>0.67106907014099593</v>
      </c>
      <c r="I199" s="2">
        <v>3650</v>
      </c>
      <c r="J199" s="2">
        <f t="shared" si="67"/>
        <v>0.65143673032304128</v>
      </c>
      <c r="K199" s="2">
        <v>352</v>
      </c>
      <c r="L199" s="12">
        <f t="shared" si="68"/>
        <v>5.8715596330275233E-2</v>
      </c>
      <c r="M199" s="2">
        <v>17.190000000000001</v>
      </c>
      <c r="N199" s="2">
        <v>16.899999999999999</v>
      </c>
      <c r="O199" s="2">
        <v>179.1</v>
      </c>
      <c r="P199" s="2">
        <v>5.54</v>
      </c>
      <c r="Q199" s="2">
        <v>23</v>
      </c>
      <c r="R199" s="2">
        <v>91.8</v>
      </c>
      <c r="S199" s="2">
        <v>90.4</v>
      </c>
      <c r="T199" s="2">
        <v>20.079999999999998</v>
      </c>
      <c r="U199" s="2">
        <v>5.64</v>
      </c>
      <c r="V199" s="2">
        <v>23.1</v>
      </c>
      <c r="W199" s="2">
        <v>20.63</v>
      </c>
      <c r="X199" s="2">
        <v>43.2</v>
      </c>
      <c r="Y199" s="2">
        <v>5.1100000000000003</v>
      </c>
      <c r="Z199" s="2">
        <v>18.2</v>
      </c>
      <c r="AA199" s="2">
        <v>4.5599999999999996</v>
      </c>
      <c r="AB199" s="2">
        <v>0.18</v>
      </c>
      <c r="AC199" s="2">
        <v>3.8</v>
      </c>
      <c r="AD199" s="2">
        <v>0.55000000000000004</v>
      </c>
      <c r="AE199" s="2">
        <v>3.44</v>
      </c>
      <c r="AF199" s="2">
        <v>0.87</v>
      </c>
      <c r="AG199" s="2">
        <v>2.5499999999999998</v>
      </c>
      <c r="AH199" s="2">
        <v>0.435</v>
      </c>
      <c r="AI199" s="2">
        <v>3.64</v>
      </c>
      <c r="AJ199" s="2">
        <v>0.35399999999999998</v>
      </c>
      <c r="AK199" s="2">
        <v>4.1399999999999997</v>
      </c>
      <c r="AL199" s="2">
        <v>1.6</v>
      </c>
      <c r="AM199" s="2">
        <v>26.8</v>
      </c>
      <c r="AN199" s="2">
        <v>18.399999999999999</v>
      </c>
      <c r="AO199" s="2">
        <v>5.95</v>
      </c>
    </row>
    <row r="200" spans="1:41">
      <c r="A200" s="2">
        <v>35.9</v>
      </c>
      <c r="B200" s="1" t="s">
        <v>204</v>
      </c>
      <c r="C200" s="3">
        <v>2950000</v>
      </c>
      <c r="D200" s="2">
        <v>220000</v>
      </c>
      <c r="E200" s="2">
        <v>29770</v>
      </c>
      <c r="F200" s="2">
        <f t="shared" si="65"/>
        <v>4.0126701711820996</v>
      </c>
      <c r="G200" s="2">
        <v>3730</v>
      </c>
      <c r="H200" s="2">
        <f t="shared" si="66"/>
        <v>0.66571479564519009</v>
      </c>
      <c r="I200" s="2">
        <v>3620</v>
      </c>
      <c r="J200" s="2">
        <f t="shared" si="67"/>
        <v>0.64608245582723534</v>
      </c>
      <c r="K200" s="2">
        <v>345</v>
      </c>
      <c r="L200" s="12">
        <f t="shared" si="68"/>
        <v>5.7547956630525435E-2</v>
      </c>
      <c r="M200" s="2">
        <v>16.98</v>
      </c>
      <c r="N200" s="2">
        <v>17</v>
      </c>
      <c r="O200" s="2">
        <v>175.8</v>
      </c>
      <c r="P200" s="2">
        <v>5.46</v>
      </c>
      <c r="Q200" s="2">
        <v>22.4</v>
      </c>
      <c r="R200" s="2">
        <v>92.1</v>
      </c>
      <c r="S200" s="2">
        <v>86.9</v>
      </c>
      <c r="T200" s="2">
        <v>20.329999999999998</v>
      </c>
      <c r="U200" s="2">
        <v>5.14</v>
      </c>
      <c r="V200" s="2">
        <v>20.100000000000001</v>
      </c>
      <c r="W200" s="2">
        <v>20.55</v>
      </c>
      <c r="X200" s="2">
        <v>44</v>
      </c>
      <c r="Y200" s="2">
        <v>4.93</v>
      </c>
      <c r="Z200" s="2">
        <v>18.600000000000001</v>
      </c>
      <c r="AA200" s="2">
        <v>4.54</v>
      </c>
      <c r="AB200" s="2">
        <v>0.104</v>
      </c>
      <c r="AC200" s="2">
        <v>3.74</v>
      </c>
      <c r="AD200" s="2">
        <v>0.55000000000000004</v>
      </c>
      <c r="AE200" s="2">
        <v>3.96</v>
      </c>
      <c r="AF200" s="2">
        <v>0.8</v>
      </c>
      <c r="AG200" s="2">
        <v>2.2799999999999998</v>
      </c>
      <c r="AH200" s="2">
        <v>0.37</v>
      </c>
      <c r="AI200" s="2">
        <v>2.46</v>
      </c>
      <c r="AJ200" s="2">
        <v>0.46200000000000002</v>
      </c>
      <c r="AK200" s="2">
        <v>4.1500000000000004</v>
      </c>
      <c r="AL200" s="2">
        <v>1.71</v>
      </c>
      <c r="AM200" s="2">
        <v>27.2</v>
      </c>
      <c r="AN200" s="2">
        <v>18.7</v>
      </c>
      <c r="AO200" s="2">
        <v>6.24</v>
      </c>
    </row>
    <row r="201" spans="1:41">
      <c r="A201" s="2">
        <v>35.9</v>
      </c>
      <c r="B201" s="1" t="s">
        <v>205</v>
      </c>
      <c r="C201" s="3">
        <v>2860000</v>
      </c>
      <c r="D201" s="2">
        <v>130000</v>
      </c>
      <c r="E201" s="2">
        <v>29300</v>
      </c>
      <c r="F201" s="2">
        <f t="shared" si="65"/>
        <v>3.9493193152716</v>
      </c>
      <c r="G201" s="2">
        <v>3620</v>
      </c>
      <c r="H201" s="2">
        <f t="shared" si="66"/>
        <v>0.64608245582723534</v>
      </c>
      <c r="I201" s="2">
        <v>3750</v>
      </c>
      <c r="J201" s="2">
        <f t="shared" si="67"/>
        <v>0.66928431197572724</v>
      </c>
      <c r="K201" s="2">
        <v>354</v>
      </c>
      <c r="L201" s="12">
        <f t="shared" si="68"/>
        <v>5.9049207673060877E-2</v>
      </c>
      <c r="M201" s="2">
        <v>17.16</v>
      </c>
      <c r="N201" s="2">
        <v>17</v>
      </c>
      <c r="O201" s="2">
        <v>174.8</v>
      </c>
      <c r="P201" s="2">
        <v>6.54</v>
      </c>
      <c r="Q201" s="2">
        <v>22.3</v>
      </c>
      <c r="R201" s="2">
        <v>91.3</v>
      </c>
      <c r="S201" s="2">
        <v>95.6</v>
      </c>
      <c r="T201" s="2">
        <v>20.100000000000001</v>
      </c>
      <c r="U201" s="2">
        <v>5.28</v>
      </c>
      <c r="V201" s="2">
        <v>21.1</v>
      </c>
      <c r="W201" s="2">
        <v>20.399999999999999</v>
      </c>
      <c r="X201" s="2">
        <v>43.8</v>
      </c>
      <c r="Y201" s="2">
        <v>5.3</v>
      </c>
      <c r="Z201" s="2">
        <v>17.5</v>
      </c>
      <c r="AA201" s="2">
        <v>4.1399999999999997</v>
      </c>
      <c r="AB201" s="2">
        <v>0.17199999999999999</v>
      </c>
      <c r="AC201" s="2">
        <v>4</v>
      </c>
      <c r="AD201" s="2">
        <v>0.72</v>
      </c>
      <c r="AE201" s="2">
        <v>3.8</v>
      </c>
      <c r="AF201" s="2">
        <v>0.8</v>
      </c>
      <c r="AG201" s="2">
        <v>3.01</v>
      </c>
      <c r="AH201" s="2">
        <v>0.36199999999999999</v>
      </c>
      <c r="AI201" s="2">
        <v>2.64</v>
      </c>
      <c r="AJ201" s="2">
        <v>0.33800000000000002</v>
      </c>
      <c r="AK201" s="2">
        <v>3.93</v>
      </c>
      <c r="AL201" s="2">
        <v>1.73</v>
      </c>
      <c r="AM201" s="2">
        <v>26.8</v>
      </c>
      <c r="AN201" s="2">
        <v>18.399999999999999</v>
      </c>
      <c r="AO201" s="2">
        <v>5.95</v>
      </c>
    </row>
    <row r="202" spans="1:41">
      <c r="A202" s="2">
        <v>35.9</v>
      </c>
      <c r="B202" s="1" t="s">
        <v>206</v>
      </c>
      <c r="C202" s="3">
        <v>2870000</v>
      </c>
      <c r="D202" s="2">
        <v>150000</v>
      </c>
      <c r="E202" s="2">
        <v>30220</v>
      </c>
      <c r="F202" s="2">
        <f t="shared" si="65"/>
        <v>4.0733252459900253</v>
      </c>
      <c r="G202" s="2">
        <v>3460</v>
      </c>
      <c r="H202" s="2">
        <f t="shared" si="66"/>
        <v>0.61752632518293771</v>
      </c>
      <c r="I202" s="2">
        <v>3670</v>
      </c>
      <c r="J202" s="2">
        <f t="shared" si="67"/>
        <v>0.65500624665357843</v>
      </c>
      <c r="K202" s="2">
        <v>334</v>
      </c>
      <c r="L202" s="12">
        <f t="shared" si="68"/>
        <v>5.5713094245204334E-2</v>
      </c>
      <c r="M202" s="2">
        <v>16.399999999999999</v>
      </c>
      <c r="N202" s="2">
        <v>17.329999999999998</v>
      </c>
      <c r="O202" s="2">
        <v>179.7</v>
      </c>
      <c r="P202" s="2">
        <v>5.43</v>
      </c>
      <c r="Q202" s="2">
        <v>22.93</v>
      </c>
      <c r="R202" s="2">
        <v>92.3</v>
      </c>
      <c r="S202" s="2">
        <v>91.4</v>
      </c>
      <c r="T202" s="2">
        <v>20.69</v>
      </c>
      <c r="U202" s="2">
        <v>5.2</v>
      </c>
      <c r="V202" s="2">
        <v>19.899999999999999</v>
      </c>
      <c r="W202" s="2">
        <v>20.6</v>
      </c>
      <c r="X202" s="2">
        <v>44.4</v>
      </c>
      <c r="Y202" s="2">
        <v>5.0599999999999996</v>
      </c>
      <c r="Z202" s="2">
        <v>19.600000000000001</v>
      </c>
      <c r="AA202" s="2">
        <v>3.98</v>
      </c>
      <c r="AB202" s="2">
        <v>0.19600000000000001</v>
      </c>
      <c r="AC202" s="2">
        <v>3.2</v>
      </c>
      <c r="AD202" s="2">
        <v>0.56999999999999995</v>
      </c>
      <c r="AE202" s="2">
        <v>3.74</v>
      </c>
      <c r="AF202" s="2">
        <v>0.79</v>
      </c>
      <c r="AG202" s="2">
        <v>2.1</v>
      </c>
      <c r="AH202" s="2">
        <v>0.39</v>
      </c>
      <c r="AI202" s="2">
        <v>2.71</v>
      </c>
      <c r="AJ202" s="2">
        <v>0.41099999999999998</v>
      </c>
      <c r="AK202" s="2">
        <v>4.59</v>
      </c>
      <c r="AL202" s="2">
        <v>1.68</v>
      </c>
      <c r="AM202" s="2">
        <v>27.06</v>
      </c>
      <c r="AN202" s="2">
        <v>19.2</v>
      </c>
      <c r="AO202" s="2">
        <v>6.33</v>
      </c>
    </row>
    <row r="203" spans="1:41">
      <c r="A203" s="2">
        <v>35.9</v>
      </c>
      <c r="B203" s="1" t="s">
        <v>207</v>
      </c>
      <c r="C203" s="3">
        <v>2860000</v>
      </c>
      <c r="D203" s="2">
        <v>150000</v>
      </c>
      <c r="E203" s="2">
        <v>29960</v>
      </c>
      <c r="F203" s="2">
        <f t="shared" si="65"/>
        <v>4.0382800916565573</v>
      </c>
      <c r="G203" s="2">
        <v>3840</v>
      </c>
      <c r="H203" s="2">
        <f t="shared" si="66"/>
        <v>0.68534713546314474</v>
      </c>
      <c r="I203" s="2">
        <v>3740</v>
      </c>
      <c r="J203" s="2">
        <f t="shared" si="67"/>
        <v>0.66749955381045867</v>
      </c>
      <c r="K203" s="2">
        <v>351</v>
      </c>
      <c r="L203" s="12">
        <f t="shared" si="68"/>
        <v>5.8548790658882396E-2</v>
      </c>
      <c r="M203" s="2">
        <v>16.600000000000001</v>
      </c>
      <c r="N203" s="2">
        <v>17.5</v>
      </c>
      <c r="O203" s="2">
        <v>184.3</v>
      </c>
      <c r="P203" s="2">
        <v>5.81</v>
      </c>
      <c r="Q203" s="2">
        <v>23.6</v>
      </c>
      <c r="R203" s="2">
        <v>94</v>
      </c>
      <c r="S203" s="2">
        <v>94.1</v>
      </c>
      <c r="T203" s="2">
        <v>21</v>
      </c>
      <c r="U203" s="2">
        <v>5.79</v>
      </c>
      <c r="V203" s="2">
        <v>21.6</v>
      </c>
      <c r="W203" s="2">
        <v>20.9</v>
      </c>
      <c r="X203" s="2">
        <v>45.3</v>
      </c>
      <c r="Y203" s="2">
        <v>5.49</v>
      </c>
      <c r="Z203" s="2">
        <v>18.600000000000001</v>
      </c>
      <c r="AA203" s="2">
        <v>3.55</v>
      </c>
      <c r="AB203" s="2">
        <v>0.192</v>
      </c>
      <c r="AC203" s="2">
        <v>4.7</v>
      </c>
      <c r="AD203" s="2">
        <v>0.6</v>
      </c>
      <c r="AE203" s="2">
        <v>4.4000000000000004</v>
      </c>
      <c r="AF203" s="2">
        <v>0.91</v>
      </c>
      <c r="AG203" s="2">
        <v>2.4300000000000002</v>
      </c>
      <c r="AH203" s="2">
        <v>0.32800000000000001</v>
      </c>
      <c r="AI203" s="2">
        <v>2.65</v>
      </c>
      <c r="AJ203" s="2">
        <v>0.41</v>
      </c>
      <c r="AK203" s="2">
        <v>4.54</v>
      </c>
      <c r="AL203" s="2">
        <v>1.65</v>
      </c>
      <c r="AM203" s="2">
        <v>27.7</v>
      </c>
      <c r="AN203" s="2">
        <v>18.899999999999999</v>
      </c>
      <c r="AO203" s="2">
        <v>6.28</v>
      </c>
    </row>
    <row r="204" spans="1:41">
      <c r="A204" s="2">
        <v>35.9</v>
      </c>
      <c r="B204" s="1" t="s">
        <v>208</v>
      </c>
      <c r="C204" s="3">
        <v>2890000</v>
      </c>
      <c r="D204" s="2">
        <v>150000</v>
      </c>
      <c r="E204" s="2">
        <v>29630</v>
      </c>
      <c r="F204" s="2">
        <f t="shared" si="65"/>
        <v>3.9937997034640786</v>
      </c>
      <c r="G204" s="2">
        <v>3810</v>
      </c>
      <c r="H204" s="2">
        <f t="shared" si="66"/>
        <v>0.67999286096733891</v>
      </c>
      <c r="I204" s="2">
        <v>3720</v>
      </c>
      <c r="J204" s="2">
        <f t="shared" si="67"/>
        <v>0.66393003747992141</v>
      </c>
      <c r="K204" s="2">
        <v>364</v>
      </c>
      <c r="L204" s="12">
        <f t="shared" si="68"/>
        <v>6.0717264386989156E-2</v>
      </c>
      <c r="M204" s="2">
        <v>17.2</v>
      </c>
      <c r="N204" s="2">
        <v>17.57</v>
      </c>
      <c r="O204" s="2">
        <v>181</v>
      </c>
      <c r="P204" s="2">
        <v>6.28</v>
      </c>
      <c r="Q204" s="2">
        <v>22.4</v>
      </c>
      <c r="R204" s="2">
        <v>91.7</v>
      </c>
      <c r="S204" s="2">
        <v>93.7</v>
      </c>
      <c r="T204" s="2">
        <v>20</v>
      </c>
      <c r="U204" s="2">
        <v>5.49</v>
      </c>
      <c r="V204" s="2">
        <v>21.5</v>
      </c>
      <c r="W204" s="2">
        <v>20.8</v>
      </c>
      <c r="X204" s="2">
        <v>44.5</v>
      </c>
      <c r="Y204" s="2">
        <v>5.29</v>
      </c>
      <c r="Z204" s="2">
        <v>19.7</v>
      </c>
      <c r="AA204" s="2">
        <v>4.5999999999999996</v>
      </c>
      <c r="AB204" s="2">
        <v>0.19800000000000001</v>
      </c>
      <c r="AC204" s="2">
        <v>4.3</v>
      </c>
      <c r="AD204" s="2">
        <v>0.54</v>
      </c>
      <c r="AE204" s="2">
        <v>3.65</v>
      </c>
      <c r="AF204" s="2">
        <v>0.94</v>
      </c>
      <c r="AG204" s="2">
        <v>2.56</v>
      </c>
      <c r="AH204" s="2">
        <v>0.34799999999999998</v>
      </c>
      <c r="AI204" s="2">
        <v>2.64</v>
      </c>
      <c r="AJ204" s="2">
        <v>0.39300000000000002</v>
      </c>
      <c r="AK204" s="2">
        <v>4.33</v>
      </c>
      <c r="AL204" s="2">
        <v>1.76</v>
      </c>
      <c r="AM204" s="2">
        <v>26.8</v>
      </c>
      <c r="AN204" s="2">
        <v>18.57</v>
      </c>
      <c r="AO204" s="2">
        <v>6.35</v>
      </c>
    </row>
    <row r="205" spans="1:41">
      <c r="A205" s="2">
        <v>35.9</v>
      </c>
      <c r="B205" s="1" t="s">
        <v>209</v>
      </c>
      <c r="C205" s="3">
        <v>3210000</v>
      </c>
      <c r="D205" s="2">
        <v>200000</v>
      </c>
      <c r="E205" s="2">
        <v>25600</v>
      </c>
      <c r="F205" s="2">
        <f t="shared" si="65"/>
        <v>3.4505998112953233</v>
      </c>
      <c r="G205" s="2">
        <v>3240</v>
      </c>
      <c r="H205" s="2">
        <f t="shared" si="66"/>
        <v>0.57826164554702841</v>
      </c>
      <c r="I205" s="2">
        <v>3110</v>
      </c>
      <c r="J205" s="2">
        <f t="shared" si="67"/>
        <v>0.55505978939853651</v>
      </c>
      <c r="K205" s="2">
        <v>274</v>
      </c>
      <c r="L205" s="12">
        <f t="shared" si="68"/>
        <v>4.5704753961634689E-2</v>
      </c>
      <c r="M205" s="2">
        <v>14</v>
      </c>
      <c r="N205" s="2">
        <v>14</v>
      </c>
      <c r="O205" s="2">
        <v>156</v>
      </c>
      <c r="P205" s="2">
        <v>5.35</v>
      </c>
      <c r="Q205" s="2">
        <v>14.7</v>
      </c>
      <c r="R205" s="2">
        <v>76</v>
      </c>
      <c r="S205" s="2">
        <v>78</v>
      </c>
      <c r="T205" s="2">
        <v>15.1</v>
      </c>
      <c r="U205" s="2">
        <v>4.09</v>
      </c>
      <c r="V205" s="2">
        <v>19.100000000000001</v>
      </c>
      <c r="W205" s="2">
        <v>13.8</v>
      </c>
      <c r="X205" s="2">
        <v>27.9</v>
      </c>
      <c r="Y205" s="2">
        <v>3.4</v>
      </c>
      <c r="Z205" s="2">
        <v>11.2</v>
      </c>
      <c r="AA205" s="2">
        <v>2.88</v>
      </c>
      <c r="AB205" s="2">
        <v>0.14699999999999999</v>
      </c>
      <c r="AC205" s="2">
        <v>2.9</v>
      </c>
      <c r="AD205" s="2">
        <v>0.48</v>
      </c>
      <c r="AE205" s="2">
        <v>2.65</v>
      </c>
      <c r="AF205" s="2">
        <v>0.47</v>
      </c>
      <c r="AG205" s="2">
        <v>1.88</v>
      </c>
      <c r="AH205" s="2">
        <v>0.19900000000000001</v>
      </c>
      <c r="AI205" s="2">
        <v>1.6</v>
      </c>
      <c r="AJ205" s="2">
        <v>0.252</v>
      </c>
      <c r="AK205" s="2">
        <v>3.8</v>
      </c>
      <c r="AL205" s="2">
        <v>1.65</v>
      </c>
      <c r="AM205" s="2">
        <v>23.8</v>
      </c>
      <c r="AN205" s="2">
        <v>12.7</v>
      </c>
      <c r="AO205" s="2">
        <v>4.8</v>
      </c>
    </row>
    <row r="206" spans="1:41">
      <c r="A206" s="2">
        <v>35.9</v>
      </c>
      <c r="B206" s="1" t="s">
        <v>210</v>
      </c>
      <c r="C206" s="3">
        <v>2920000</v>
      </c>
      <c r="D206" s="2">
        <v>190000</v>
      </c>
      <c r="E206" s="2">
        <v>29840</v>
      </c>
      <c r="F206" s="2">
        <f t="shared" si="65"/>
        <v>4.0221054050411107</v>
      </c>
      <c r="G206" s="2">
        <v>4080</v>
      </c>
      <c r="H206" s="2">
        <f t="shared" si="66"/>
        <v>0.72818133142959118</v>
      </c>
      <c r="I206" s="2">
        <v>3680</v>
      </c>
      <c r="J206" s="2">
        <f t="shared" si="67"/>
        <v>0.656791004818847</v>
      </c>
      <c r="K206" s="2">
        <v>338</v>
      </c>
      <c r="L206" s="12">
        <f t="shared" si="68"/>
        <v>5.6380316930775644E-2</v>
      </c>
      <c r="M206" s="2">
        <v>16.91</v>
      </c>
      <c r="N206" s="2">
        <v>16.8</v>
      </c>
      <c r="O206" s="2">
        <v>177.1</v>
      </c>
      <c r="P206" s="2">
        <v>5.97</v>
      </c>
      <c r="Q206" s="2">
        <v>23.1</v>
      </c>
      <c r="R206" s="2">
        <v>92.3</v>
      </c>
      <c r="S206" s="2">
        <v>88.6</v>
      </c>
      <c r="T206" s="2">
        <v>19.95</v>
      </c>
      <c r="U206" s="2">
        <v>5.34</v>
      </c>
      <c r="V206" s="2">
        <v>21</v>
      </c>
      <c r="W206" s="2">
        <v>20.37</v>
      </c>
      <c r="X206" s="2">
        <v>43.1</v>
      </c>
      <c r="Y206" s="2">
        <v>5.05</v>
      </c>
      <c r="Z206" s="2">
        <v>19</v>
      </c>
      <c r="AA206" s="2">
        <v>4.3600000000000003</v>
      </c>
      <c r="AB206" s="2">
        <v>7.3999999999999996E-2</v>
      </c>
      <c r="AC206" s="2">
        <v>3.1</v>
      </c>
      <c r="AD206" s="2">
        <v>0.55000000000000004</v>
      </c>
      <c r="AE206" s="2">
        <v>3.84</v>
      </c>
      <c r="AF206" s="2">
        <v>0.751</v>
      </c>
      <c r="AG206" s="2">
        <v>2.31</v>
      </c>
      <c r="AH206" s="2">
        <v>0.37</v>
      </c>
      <c r="AI206" s="2">
        <v>2.78</v>
      </c>
      <c r="AJ206" s="2">
        <v>0.38200000000000001</v>
      </c>
      <c r="AK206" s="2">
        <v>3.92</v>
      </c>
      <c r="AL206" s="2">
        <v>1.65</v>
      </c>
      <c r="AM206" s="2">
        <v>27.3</v>
      </c>
      <c r="AN206" s="2">
        <v>18.8</v>
      </c>
      <c r="AO206" s="2">
        <v>6.3</v>
      </c>
    </row>
    <row r="207" spans="1:41">
      <c r="A207" s="2">
        <v>35.9</v>
      </c>
      <c r="B207" s="1" t="s">
        <v>211</v>
      </c>
      <c r="C207" s="3">
        <v>2970000</v>
      </c>
      <c r="D207" s="2">
        <v>120000</v>
      </c>
      <c r="E207" s="2">
        <v>29410</v>
      </c>
      <c r="F207" s="2">
        <f t="shared" si="65"/>
        <v>3.9641461113357597</v>
      </c>
      <c r="G207" s="2">
        <v>3400</v>
      </c>
      <c r="H207" s="2">
        <f t="shared" si="66"/>
        <v>0.60681777619132604</v>
      </c>
      <c r="I207" s="2">
        <v>3560</v>
      </c>
      <c r="J207" s="2">
        <f t="shared" si="67"/>
        <v>0.63537390683562367</v>
      </c>
      <c r="K207" s="2">
        <v>335</v>
      </c>
      <c r="L207" s="12">
        <f t="shared" si="68"/>
        <v>5.5879899916597163E-2</v>
      </c>
      <c r="M207" s="2">
        <v>16.16</v>
      </c>
      <c r="N207" s="2">
        <v>16.8</v>
      </c>
      <c r="O207" s="2">
        <v>170.3</v>
      </c>
      <c r="P207" s="2">
        <v>5.42</v>
      </c>
      <c r="Q207" s="2">
        <v>21.9</v>
      </c>
      <c r="R207" s="2">
        <v>91.4</v>
      </c>
      <c r="S207" s="2">
        <v>91</v>
      </c>
      <c r="T207" s="2">
        <v>19.8</v>
      </c>
      <c r="U207" s="2">
        <v>5.0599999999999996</v>
      </c>
      <c r="V207" s="2">
        <v>21.5</v>
      </c>
      <c r="W207" s="2">
        <v>20</v>
      </c>
      <c r="X207" s="2">
        <v>42.8</v>
      </c>
      <c r="Y207" s="2">
        <v>5.03</v>
      </c>
      <c r="Z207" s="2">
        <v>17.8</v>
      </c>
      <c r="AA207" s="2">
        <v>4.34</v>
      </c>
      <c r="AB207" s="2">
        <v>0.108</v>
      </c>
      <c r="AC207" s="2">
        <v>4.2</v>
      </c>
      <c r="AD207" s="2">
        <v>0.61</v>
      </c>
      <c r="AE207" s="2">
        <v>3.93</v>
      </c>
      <c r="AF207" s="2">
        <v>0.78</v>
      </c>
      <c r="AG207" s="2">
        <v>2.2999999999999998</v>
      </c>
      <c r="AH207" s="2">
        <v>0.49</v>
      </c>
      <c r="AI207" s="2">
        <v>3.21</v>
      </c>
      <c r="AJ207" s="2">
        <v>0.35599999999999998</v>
      </c>
      <c r="AK207" s="2">
        <v>3.37</v>
      </c>
      <c r="AL207" s="2">
        <v>1.61</v>
      </c>
      <c r="AM207" s="2">
        <v>26.1</v>
      </c>
      <c r="AN207" s="2">
        <v>18.600000000000001</v>
      </c>
      <c r="AO207" s="2">
        <v>6.05</v>
      </c>
    </row>
    <row r="208" spans="1:41">
      <c r="A208" s="2">
        <v>35.9</v>
      </c>
      <c r="B208" s="1" t="s">
        <v>212</v>
      </c>
      <c r="C208" s="3">
        <v>2940000</v>
      </c>
      <c r="D208" s="2">
        <v>180000</v>
      </c>
      <c r="E208" s="2">
        <v>29950</v>
      </c>
      <c r="F208" s="2">
        <f t="shared" si="65"/>
        <v>4.0369322011052704</v>
      </c>
      <c r="G208" s="2">
        <v>3660</v>
      </c>
      <c r="H208" s="2">
        <f t="shared" si="66"/>
        <v>0.65322148848830985</v>
      </c>
      <c r="I208" s="2">
        <v>3660</v>
      </c>
      <c r="J208" s="2">
        <f t="shared" si="67"/>
        <v>0.65322148848830985</v>
      </c>
      <c r="K208" s="2">
        <v>356</v>
      </c>
      <c r="L208" s="12">
        <f t="shared" si="68"/>
        <v>5.9382819015846529E-2</v>
      </c>
      <c r="M208" s="2">
        <v>17.5</v>
      </c>
      <c r="N208" s="2">
        <v>16.5</v>
      </c>
      <c r="O208" s="2">
        <v>181.2</v>
      </c>
      <c r="P208" s="2">
        <v>5.87</v>
      </c>
      <c r="Q208" s="2">
        <v>23.8</v>
      </c>
      <c r="R208" s="2">
        <v>93.4</v>
      </c>
      <c r="S208" s="2">
        <v>90.9</v>
      </c>
      <c r="T208" s="2">
        <v>20.260000000000002</v>
      </c>
      <c r="U208" s="2">
        <v>5.59</v>
      </c>
      <c r="V208" s="2">
        <v>20.8</v>
      </c>
      <c r="W208" s="2">
        <v>21.3</v>
      </c>
      <c r="X208" s="2">
        <v>46.1</v>
      </c>
      <c r="Y208" s="2">
        <v>5.0599999999999996</v>
      </c>
      <c r="Z208" s="2">
        <v>19</v>
      </c>
      <c r="AA208" s="2">
        <v>5.01</v>
      </c>
      <c r="AB208" s="2">
        <v>0.2</v>
      </c>
      <c r="AC208" s="2">
        <v>4.2</v>
      </c>
      <c r="AD208" s="2">
        <v>0.64</v>
      </c>
      <c r="AE208" s="2">
        <v>3.94</v>
      </c>
      <c r="AF208" s="2">
        <v>0.87</v>
      </c>
      <c r="AG208" s="2">
        <v>2.54</v>
      </c>
      <c r="AH208" s="2">
        <v>0.35599999999999998</v>
      </c>
      <c r="AI208" s="2">
        <v>2.2200000000000002</v>
      </c>
      <c r="AJ208" s="2">
        <v>0.40300000000000002</v>
      </c>
      <c r="AK208" s="2">
        <v>3.82</v>
      </c>
      <c r="AL208" s="2">
        <v>1.76</v>
      </c>
      <c r="AM208" s="2">
        <v>27.4</v>
      </c>
      <c r="AN208" s="2">
        <v>19.3</v>
      </c>
      <c r="AO208" s="2">
        <v>6.36</v>
      </c>
    </row>
    <row r="209" spans="1:41">
      <c r="A209" s="2">
        <v>35.9</v>
      </c>
      <c r="B209" s="1" t="s">
        <v>213</v>
      </c>
      <c r="C209" s="3">
        <v>2870000</v>
      </c>
      <c r="D209" s="2">
        <v>240000</v>
      </c>
      <c r="E209" s="2">
        <v>30330</v>
      </c>
      <c r="F209" s="2">
        <f t="shared" si="65"/>
        <v>4.088152042054185</v>
      </c>
      <c r="G209" s="2">
        <v>3250</v>
      </c>
      <c r="H209" s="2">
        <f t="shared" si="66"/>
        <v>0.58004640371229699</v>
      </c>
      <c r="I209" s="2">
        <v>3680</v>
      </c>
      <c r="J209" s="2">
        <f t="shared" si="67"/>
        <v>0.656791004818847</v>
      </c>
      <c r="K209" s="2">
        <v>336</v>
      </c>
      <c r="L209" s="12">
        <f t="shared" si="68"/>
        <v>5.6046705587989992E-2</v>
      </c>
      <c r="M209" s="2">
        <v>16.22</v>
      </c>
      <c r="N209" s="2">
        <v>16.7</v>
      </c>
      <c r="O209" s="2">
        <v>176.2</v>
      </c>
      <c r="P209" s="2">
        <v>5.58</v>
      </c>
      <c r="Q209" s="2">
        <v>22.7</v>
      </c>
      <c r="R209" s="2">
        <v>93.1</v>
      </c>
      <c r="S209" s="2">
        <v>95.3</v>
      </c>
      <c r="T209" s="2">
        <v>19.899999999999999</v>
      </c>
      <c r="U209" s="2">
        <v>5.43</v>
      </c>
      <c r="V209" s="2">
        <v>22.1</v>
      </c>
      <c r="W209" s="2">
        <v>21</v>
      </c>
      <c r="X209" s="2">
        <v>44.6</v>
      </c>
      <c r="Y209" s="2">
        <v>5.31</v>
      </c>
      <c r="Z209" s="2">
        <v>18.899999999999999</v>
      </c>
      <c r="AA209" s="2">
        <v>4.4400000000000004</v>
      </c>
      <c r="AB209" s="2">
        <v>0.17</v>
      </c>
      <c r="AC209" s="2">
        <v>4.5999999999999996</v>
      </c>
      <c r="AD209" s="2">
        <v>0.65</v>
      </c>
      <c r="AE209" s="2">
        <v>4</v>
      </c>
      <c r="AF209" s="2">
        <v>0.85</v>
      </c>
      <c r="AG209" s="2">
        <v>2.4</v>
      </c>
      <c r="AH209" s="2">
        <v>0.48</v>
      </c>
      <c r="AI209" s="2">
        <v>2.61</v>
      </c>
      <c r="AJ209" s="2">
        <v>0.32600000000000001</v>
      </c>
      <c r="AK209" s="2">
        <v>4.28</v>
      </c>
      <c r="AL209" s="2">
        <v>1.7</v>
      </c>
      <c r="AM209" s="2">
        <v>27.1</v>
      </c>
      <c r="AN209" s="2">
        <v>19.100000000000001</v>
      </c>
      <c r="AO209" s="2">
        <v>6.08</v>
      </c>
    </row>
    <row r="210" spans="1:41">
      <c r="A210" s="2">
        <v>35.9</v>
      </c>
      <c r="B210" s="1" t="s">
        <v>214</v>
      </c>
      <c r="C210" s="3">
        <v>2860000</v>
      </c>
      <c r="D210" s="2">
        <v>130000</v>
      </c>
      <c r="E210" s="2">
        <v>29680</v>
      </c>
      <c r="F210" s="2">
        <f t="shared" si="65"/>
        <v>4.0005391562205146</v>
      </c>
      <c r="G210" s="2">
        <v>3630</v>
      </c>
      <c r="H210" s="2">
        <f t="shared" si="66"/>
        <v>0.64786721399250402</v>
      </c>
      <c r="I210" s="2">
        <v>3800</v>
      </c>
      <c r="J210" s="2">
        <f t="shared" si="67"/>
        <v>0.67820810280207033</v>
      </c>
      <c r="K210" s="2">
        <v>351</v>
      </c>
      <c r="L210" s="12">
        <f t="shared" si="68"/>
        <v>5.8548790658882396E-2</v>
      </c>
      <c r="M210" s="2">
        <v>17.47</v>
      </c>
      <c r="N210" s="2">
        <v>17.3</v>
      </c>
      <c r="O210" s="2">
        <v>177.3</v>
      </c>
      <c r="P210" s="2">
        <v>5.32</v>
      </c>
      <c r="Q210" s="2">
        <v>23.1</v>
      </c>
      <c r="R210" s="2">
        <v>93.2</v>
      </c>
      <c r="S210" s="2">
        <v>93.9</v>
      </c>
      <c r="T210" s="2">
        <v>20.38</v>
      </c>
      <c r="U210" s="2">
        <v>5.6</v>
      </c>
      <c r="V210" s="2">
        <v>21.8</v>
      </c>
      <c r="W210" s="2">
        <v>20.9</v>
      </c>
      <c r="X210" s="2">
        <v>44.5</v>
      </c>
      <c r="Y210" s="2">
        <v>5.14</v>
      </c>
      <c r="Z210" s="2">
        <v>19.899999999999999</v>
      </c>
      <c r="AA210" s="2">
        <v>4.1500000000000004</v>
      </c>
      <c r="AB210" s="2">
        <v>0.122</v>
      </c>
      <c r="AC210" s="2">
        <v>3.71</v>
      </c>
      <c r="AD210" s="2">
        <v>0.64</v>
      </c>
      <c r="AE210" s="2">
        <v>4.3499999999999996</v>
      </c>
      <c r="AF210" s="2">
        <v>0.7</v>
      </c>
      <c r="AG210" s="2">
        <v>2.57</v>
      </c>
      <c r="AH210" s="2">
        <v>0.39100000000000001</v>
      </c>
      <c r="AI210" s="2">
        <v>2.16</v>
      </c>
      <c r="AJ210" s="2">
        <v>0.38900000000000001</v>
      </c>
      <c r="AK210" s="2">
        <v>3.94</v>
      </c>
      <c r="AL210" s="2">
        <v>1.63</v>
      </c>
      <c r="AM210" s="2">
        <v>26.5</v>
      </c>
      <c r="AN210" s="2">
        <v>18.899999999999999</v>
      </c>
      <c r="AO210" s="2">
        <v>6.24</v>
      </c>
    </row>
    <row r="211" spans="1:41">
      <c r="A211" s="2">
        <v>35.9</v>
      </c>
      <c r="B211" s="1" t="s">
        <v>215</v>
      </c>
      <c r="C211" s="3">
        <v>2980000</v>
      </c>
      <c r="D211" s="2">
        <v>180000</v>
      </c>
      <c r="E211" s="2">
        <v>30050</v>
      </c>
      <c r="F211" s="2">
        <f t="shared" si="65"/>
        <v>4.0504111066181423</v>
      </c>
      <c r="G211" s="2">
        <v>3720</v>
      </c>
      <c r="H211" s="2">
        <f t="shared" si="66"/>
        <v>0.66393003747992141</v>
      </c>
      <c r="I211" s="2">
        <v>3720</v>
      </c>
      <c r="J211" s="2">
        <f t="shared" si="67"/>
        <v>0.66393003747992141</v>
      </c>
      <c r="K211" s="2">
        <v>365</v>
      </c>
      <c r="L211" s="12">
        <f t="shared" si="68"/>
        <v>6.0884070058381985E-2</v>
      </c>
      <c r="M211" s="2">
        <v>16.010000000000002</v>
      </c>
      <c r="N211" s="2">
        <v>17.100000000000001</v>
      </c>
      <c r="O211" s="2">
        <v>173</v>
      </c>
      <c r="P211" s="2">
        <v>5.15</v>
      </c>
      <c r="Q211" s="2">
        <v>22.6</v>
      </c>
      <c r="R211" s="2">
        <v>90.7</v>
      </c>
      <c r="S211" s="2">
        <v>86.3</v>
      </c>
      <c r="T211" s="2">
        <v>19.07</v>
      </c>
      <c r="U211" s="2">
        <v>5.36</v>
      </c>
      <c r="V211" s="2">
        <v>20.3</v>
      </c>
      <c r="W211" s="2">
        <v>21.4</v>
      </c>
      <c r="X211" s="2">
        <v>44.1</v>
      </c>
      <c r="Y211" s="2">
        <v>5.52</v>
      </c>
      <c r="Z211" s="2">
        <v>18.600000000000001</v>
      </c>
      <c r="AA211" s="2">
        <v>4.8899999999999997</v>
      </c>
      <c r="AB211" s="2">
        <v>0.114</v>
      </c>
      <c r="AC211" s="2">
        <v>3.5</v>
      </c>
      <c r="AD211" s="2">
        <v>0.56000000000000005</v>
      </c>
      <c r="AE211" s="2">
        <v>3.57</v>
      </c>
      <c r="AF211" s="2">
        <v>0.74</v>
      </c>
      <c r="AG211" s="2">
        <v>2.2599999999999998</v>
      </c>
      <c r="AH211" s="2">
        <v>0.35599999999999998</v>
      </c>
      <c r="AI211" s="2">
        <v>3.05</v>
      </c>
      <c r="AJ211" s="2">
        <v>0.35599999999999998</v>
      </c>
      <c r="AK211" s="2">
        <v>4.45</v>
      </c>
      <c r="AL211" s="2">
        <v>1.6</v>
      </c>
      <c r="AM211" s="2">
        <v>26.2</v>
      </c>
      <c r="AN211" s="2">
        <v>18.600000000000001</v>
      </c>
      <c r="AO211" s="2">
        <v>6.01</v>
      </c>
    </row>
    <row r="212" spans="1:41">
      <c r="A212" s="2">
        <v>35.9</v>
      </c>
      <c r="B212" s="1" t="s">
        <v>216</v>
      </c>
      <c r="C212" s="3">
        <v>2890000</v>
      </c>
      <c r="D212" s="2">
        <v>150000</v>
      </c>
      <c r="E212" s="2">
        <v>29970</v>
      </c>
      <c r="F212" s="2">
        <f t="shared" si="65"/>
        <v>4.0396279822078442</v>
      </c>
      <c r="G212" s="2">
        <v>3790</v>
      </c>
      <c r="H212" s="2">
        <f t="shared" si="66"/>
        <v>0.67642334463680176</v>
      </c>
      <c r="I212" s="2">
        <v>3700</v>
      </c>
      <c r="J212" s="2">
        <f t="shared" si="67"/>
        <v>0.66036052114938415</v>
      </c>
      <c r="K212" s="2">
        <v>330</v>
      </c>
      <c r="L212" s="12">
        <f t="shared" si="68"/>
        <v>5.5045871559633017E-2</v>
      </c>
      <c r="M212" s="2">
        <v>16.43</v>
      </c>
      <c r="N212" s="2">
        <v>16.5</v>
      </c>
      <c r="O212" s="2">
        <v>174.5</v>
      </c>
      <c r="P212" s="2">
        <v>5.24</v>
      </c>
      <c r="Q212" s="2">
        <v>22.5</v>
      </c>
      <c r="R212" s="2">
        <v>89.5</v>
      </c>
      <c r="S212" s="2">
        <v>93.1</v>
      </c>
      <c r="T212" s="2">
        <v>19.7</v>
      </c>
      <c r="U212" s="2">
        <v>5.34</v>
      </c>
      <c r="V212" s="2">
        <v>19.7</v>
      </c>
      <c r="W212" s="2">
        <v>20.3</v>
      </c>
      <c r="X212" s="2">
        <v>42.9</v>
      </c>
      <c r="Y212" s="2">
        <v>5.0999999999999996</v>
      </c>
      <c r="Z212" s="2">
        <v>18.2</v>
      </c>
      <c r="AA212" s="2">
        <v>3.56</v>
      </c>
      <c r="AB212" s="2">
        <v>0.17799999999999999</v>
      </c>
      <c r="AC212" s="2">
        <v>4.0999999999999996</v>
      </c>
      <c r="AD212" s="2">
        <v>0.62</v>
      </c>
      <c r="AE212" s="2">
        <v>4.47</v>
      </c>
      <c r="AF212" s="2">
        <v>0.69899999999999995</v>
      </c>
      <c r="AG212" s="2">
        <v>1.91</v>
      </c>
      <c r="AH212" s="2">
        <v>0.35</v>
      </c>
      <c r="AI212" s="2">
        <v>2.2999999999999998</v>
      </c>
      <c r="AJ212" s="2">
        <v>0.41799999999999998</v>
      </c>
      <c r="AK212" s="2">
        <v>4.2</v>
      </c>
      <c r="AL212" s="2">
        <v>1.69</v>
      </c>
      <c r="AM212" s="2">
        <v>26</v>
      </c>
      <c r="AN212" s="2">
        <v>17.7</v>
      </c>
      <c r="AO212" s="2">
        <v>5.93</v>
      </c>
    </row>
    <row r="213" spans="1:41">
      <c r="B213" s="13" t="s">
        <v>60</v>
      </c>
      <c r="C213" s="14">
        <f>AVERAGE(C193:C212)</f>
        <v>2922000</v>
      </c>
      <c r="D213" s="14">
        <f t="shared" ref="D213:AO213" si="73">AVERAGE(D193:D212)</f>
        <v>171500</v>
      </c>
      <c r="E213" s="14">
        <f t="shared" si="73"/>
        <v>29372.5</v>
      </c>
      <c r="F213" s="14">
        <f t="shared" si="73"/>
        <v>3.9590915217684328</v>
      </c>
      <c r="G213" s="14">
        <f t="shared" si="73"/>
        <v>3671</v>
      </c>
      <c r="H213" s="14">
        <f t="shared" si="73"/>
        <v>0.65518472247010529</v>
      </c>
      <c r="I213" s="14">
        <f t="shared" si="73"/>
        <v>3658.85</v>
      </c>
      <c r="J213" s="14">
        <f t="shared" si="73"/>
        <v>0.65301624129930391</v>
      </c>
      <c r="K213" s="14">
        <f t="shared" si="73"/>
        <v>341.25</v>
      </c>
      <c r="L213" s="14">
        <f t="shared" si="73"/>
        <v>5.6922435362802316E-2</v>
      </c>
      <c r="M213" s="14">
        <f t="shared" si="73"/>
        <v>16.547999999999998</v>
      </c>
      <c r="N213" s="14">
        <f t="shared" si="73"/>
        <v>16.855</v>
      </c>
      <c r="O213" s="14">
        <f t="shared" si="73"/>
        <v>175.685</v>
      </c>
      <c r="P213" s="14">
        <f t="shared" si="73"/>
        <v>5.6395</v>
      </c>
      <c r="Q213" s="14">
        <f t="shared" si="73"/>
        <v>22.412000000000003</v>
      </c>
      <c r="R213" s="14">
        <f t="shared" si="73"/>
        <v>91.34</v>
      </c>
      <c r="S213" s="14">
        <f t="shared" si="73"/>
        <v>91.084999999999994</v>
      </c>
      <c r="T213" s="14">
        <f t="shared" si="73"/>
        <v>19.996999999999993</v>
      </c>
      <c r="U213" s="14">
        <f t="shared" si="73"/>
        <v>5.3650000000000011</v>
      </c>
      <c r="V213" s="14">
        <f t="shared" si="73"/>
        <v>20.751000000000001</v>
      </c>
      <c r="W213" s="14">
        <f t="shared" si="73"/>
        <v>20.378999999999998</v>
      </c>
      <c r="X213" s="14">
        <f t="shared" si="73"/>
        <v>43.260000000000005</v>
      </c>
      <c r="Y213" s="14">
        <f t="shared" si="73"/>
        <v>5.085</v>
      </c>
      <c r="Z213" s="14">
        <f t="shared" si="73"/>
        <v>18.219999999999995</v>
      </c>
      <c r="AA213" s="14">
        <f t="shared" si="73"/>
        <v>4.1770000000000005</v>
      </c>
      <c r="AB213" s="14">
        <f t="shared" si="73"/>
        <v>0.16259999999999997</v>
      </c>
      <c r="AC213" s="14">
        <f t="shared" si="73"/>
        <v>3.7465000000000002</v>
      </c>
      <c r="AD213" s="14">
        <f t="shared" si="73"/>
        <v>0.6090000000000001</v>
      </c>
      <c r="AE213" s="14">
        <f t="shared" si="73"/>
        <v>3.8739999999999997</v>
      </c>
      <c r="AF213" s="14">
        <f t="shared" si="73"/>
        <v>0.78599999999999981</v>
      </c>
      <c r="AG213" s="14">
        <f t="shared" si="73"/>
        <v>2.4034999999999997</v>
      </c>
      <c r="AH213" s="14">
        <f t="shared" si="73"/>
        <v>0.36809999999999998</v>
      </c>
      <c r="AI213" s="14">
        <f t="shared" si="73"/>
        <v>2.6149999999999998</v>
      </c>
      <c r="AJ213" s="14">
        <f t="shared" si="73"/>
        <v>0.37025000000000002</v>
      </c>
      <c r="AK213" s="14">
        <f t="shared" si="73"/>
        <v>4.0269999999999992</v>
      </c>
      <c r="AL213" s="14">
        <f t="shared" si="73"/>
        <v>1.6794999999999998</v>
      </c>
      <c r="AM213" s="14">
        <f t="shared" si="73"/>
        <v>26.637999999999998</v>
      </c>
      <c r="AN213" s="14">
        <f t="shared" si="73"/>
        <v>18.332999999999998</v>
      </c>
      <c r="AO213" s="14">
        <f t="shared" si="73"/>
        <v>6.0474999999999994</v>
      </c>
    </row>
    <row r="214" spans="1:41">
      <c r="B214" s="13" t="s">
        <v>61</v>
      </c>
      <c r="C214" s="14">
        <f>STDEV(C193:C212)</f>
        <v>86911.933648529041</v>
      </c>
      <c r="D214" s="14">
        <f t="shared" ref="D214:AO214" si="74">STDEV(D193:D212)</f>
        <v>30309.803868159815</v>
      </c>
      <c r="E214" s="14">
        <f t="shared" si="74"/>
        <v>1006.4940452669825</v>
      </c>
      <c r="F214" s="14">
        <f t="shared" si="74"/>
        <v>0.1356643813542231</v>
      </c>
      <c r="G214" s="14">
        <f t="shared" si="74"/>
        <v>240.45789652244736</v>
      </c>
      <c r="H214" s="14">
        <f t="shared" si="74"/>
        <v>4.2915919422175139E-2</v>
      </c>
      <c r="I214" s="14">
        <f t="shared" si="74"/>
        <v>142.40981449028678</v>
      </c>
      <c r="J214" s="14">
        <f t="shared" si="74"/>
        <v>2.541670792259268E-2</v>
      </c>
      <c r="K214" s="14">
        <f t="shared" si="74"/>
        <v>18.657226623031569</v>
      </c>
      <c r="L214" s="14">
        <f t="shared" si="74"/>
        <v>3.1121312131829142E-3</v>
      </c>
      <c r="M214" s="14">
        <f t="shared" si="74"/>
        <v>0.77853844173756626</v>
      </c>
      <c r="N214" s="14">
        <f t="shared" si="74"/>
        <v>0.88713910379020267</v>
      </c>
      <c r="O214" s="14">
        <f t="shared" si="74"/>
        <v>5.6949908737970398</v>
      </c>
      <c r="P214" s="14">
        <f t="shared" si="74"/>
        <v>0.37242413568686078</v>
      </c>
      <c r="Q214" s="14">
        <f t="shared" si="74"/>
        <v>1.9131005421071123</v>
      </c>
      <c r="R214" s="14">
        <f t="shared" si="74"/>
        <v>3.9582558625844553</v>
      </c>
      <c r="S214" s="14">
        <f t="shared" si="74"/>
        <v>4.0691748807990935</v>
      </c>
      <c r="T214" s="14">
        <f t="shared" si="74"/>
        <v>1.2591061992749588</v>
      </c>
      <c r="U214" s="14">
        <f t="shared" si="74"/>
        <v>0.35752806293978334</v>
      </c>
      <c r="V214" s="14">
        <f t="shared" si="74"/>
        <v>1.0844445582877902</v>
      </c>
      <c r="W214" s="14">
        <f t="shared" si="74"/>
        <v>1.6328628395035445</v>
      </c>
      <c r="X214" s="14">
        <f t="shared" si="74"/>
        <v>3.7888201190788728</v>
      </c>
      <c r="Y214" s="14">
        <f t="shared" si="74"/>
        <v>0.43794375990771378</v>
      </c>
      <c r="Z214" s="14">
        <f t="shared" si="74"/>
        <v>1.7843176493226229</v>
      </c>
      <c r="AA214" s="14">
        <f t="shared" si="74"/>
        <v>0.51002683107955615</v>
      </c>
      <c r="AB214" s="14">
        <f t="shared" si="74"/>
        <v>4.6911338546352981E-2</v>
      </c>
      <c r="AC214" s="14">
        <f t="shared" si="74"/>
        <v>0.51138897544875206</v>
      </c>
      <c r="AD214" s="14">
        <f t="shared" si="74"/>
        <v>7.3190450915833941E-2</v>
      </c>
      <c r="AE214" s="14">
        <f t="shared" si="74"/>
        <v>0.43295070826767057</v>
      </c>
      <c r="AF214" s="14">
        <f t="shared" si="74"/>
        <v>0.10532705955111674</v>
      </c>
      <c r="AG214" s="14">
        <f t="shared" si="74"/>
        <v>0.26654267950931099</v>
      </c>
      <c r="AH214" s="14">
        <f t="shared" si="74"/>
        <v>6.1574003400273129E-2</v>
      </c>
      <c r="AI214" s="14">
        <f t="shared" si="74"/>
        <v>0.42271677715015193</v>
      </c>
      <c r="AJ214" s="14">
        <f t="shared" si="74"/>
        <v>4.7842807301895357E-2</v>
      </c>
      <c r="AK214" s="14">
        <f t="shared" si="74"/>
        <v>0.3368444901231365</v>
      </c>
      <c r="AL214" s="14">
        <f t="shared" si="74"/>
        <v>8.2937833408682146E-2</v>
      </c>
      <c r="AM214" s="14">
        <f t="shared" si="74"/>
        <v>0.90996587558921205</v>
      </c>
      <c r="AN214" s="14">
        <f t="shared" si="74"/>
        <v>1.4210303896894863</v>
      </c>
      <c r="AO214" s="14">
        <f t="shared" si="74"/>
        <v>0.33286436308281242</v>
      </c>
    </row>
    <row r="215" spans="1:41">
      <c r="L215" s="12"/>
    </row>
    <row r="216" spans="1:41">
      <c r="C216" s="3"/>
    </row>
    <row r="217" spans="1:41">
      <c r="C217" s="3"/>
    </row>
  </sheetData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Serhiy Buryak</dc:creator>
  <cp:keywords/>
  <dc:description/>
  <cp:lastModifiedBy/>
  <cp:revision/>
  <dcterms:created xsi:type="dcterms:W3CDTF">2025-05-15T18:31:05Z</dcterms:created>
  <dcterms:modified xsi:type="dcterms:W3CDTF">2025-06-12T21:31:03Z</dcterms:modified>
  <cp:category/>
  <cp:contentStatus/>
</cp:coreProperties>
</file>